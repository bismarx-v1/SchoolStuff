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sprosek-my.sharepoint.com/personal/popovsa22_sps-prosek_cz/Documents/"/>
    </mc:Choice>
  </mc:AlternateContent>
  <xr:revisionPtr revIDLastSave="147" documentId="8_{3F1EB246-B712-4926-9DCC-0B6637927F6B}" xr6:coauthVersionLast="47" xr6:coauthVersionMax="47" xr10:uidLastSave="{3904DE7F-235A-4FEF-AB59-0FBBCC32E5C0}"/>
  <bookViews>
    <workbookView xWindow="-108" yWindow="-108" windowWidth="23256" windowHeight="14616" tabRatio="726" activeTab="3" xr2:uid="{00000000-000D-0000-FFFF-FFFF00000000}"/>
  </bookViews>
  <sheets>
    <sheet name="popis mereni" sheetId="1" r:id="rId1"/>
    <sheet name="M01" sheetId="2" r:id="rId2"/>
    <sheet name="M02" sheetId="8" r:id="rId3"/>
    <sheet name="M03" sheetId="9" r:id="rId4"/>
    <sheet name="interpretace" sheetId="7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9" l="1"/>
  <c r="J9" i="9"/>
  <c r="J10" i="9"/>
  <c r="J11" i="9"/>
  <c r="J12" i="9"/>
  <c r="J13" i="9"/>
  <c r="J14" i="9"/>
  <c r="J15" i="9"/>
  <c r="J39" i="9" s="1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J8" i="8"/>
  <c r="J9" i="8"/>
  <c r="J10" i="8"/>
  <c r="J11" i="8"/>
  <c r="J12" i="8"/>
  <c r="J13" i="8"/>
  <c r="J14" i="8"/>
  <c r="J15" i="8"/>
  <c r="J16" i="8"/>
  <c r="J39" i="8" s="1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G39" i="9"/>
  <c r="G39" i="8"/>
  <c r="J7" i="9"/>
  <c r="J7" i="8"/>
  <c r="I7" i="9"/>
  <c r="I7" i="8"/>
  <c r="G39" i="2"/>
  <c r="J3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7" i="2"/>
  <c r="I7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7" i="9"/>
  <c r="G7" i="8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7" i="2"/>
  <c r="E7" i="8"/>
  <c r="F7" i="8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E3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F7" i="9"/>
  <c r="E7" i="9"/>
  <c r="F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7" i="2"/>
</calcChain>
</file>

<file path=xl/sharedStrings.xml><?xml version="1.0" encoding="utf-8"?>
<sst xmlns="http://schemas.openxmlformats.org/spreadsheetml/2006/main" count="102" uniqueCount="50">
  <si>
    <t>úplné ticho</t>
  </si>
  <si>
    <t>integrační konstanta</t>
  </si>
  <si>
    <t>slow</t>
  </si>
  <si>
    <t>dynamický rozsah</t>
  </si>
  <si>
    <t>37 až 90</t>
  </si>
  <si>
    <t>filtr</t>
  </si>
  <si>
    <t>A</t>
  </si>
  <si>
    <t>doba nahrávání</t>
  </si>
  <si>
    <t>popis měření</t>
  </si>
  <si>
    <t>číslo měření</t>
  </si>
  <si>
    <t>t</t>
  </si>
  <si>
    <t>[s]</t>
  </si>
  <si>
    <t>LpA</t>
  </si>
  <si>
    <t>klidná řeč</t>
  </si>
  <si>
    <t>charakter hluku</t>
  </si>
  <si>
    <t>ustálený</t>
  </si>
  <si>
    <t>skupina</t>
  </si>
  <si>
    <t>[dB re 20uPa]</t>
  </si>
  <si>
    <t>LpA/20</t>
  </si>
  <si>
    <t>10^(LpA/20)</t>
  </si>
  <si>
    <t>poznámka</t>
  </si>
  <si>
    <t>30 s</t>
  </si>
  <si>
    <t>[Pa]</t>
  </si>
  <si>
    <t>Laeq [dB]</t>
  </si>
  <si>
    <t>naměřená data</t>
  </si>
  <si>
    <t>zpracoval:</t>
  </si>
  <si>
    <t>interpretace</t>
  </si>
  <si>
    <t>mean(p) [Pa]</t>
  </si>
  <si>
    <t>ekvivalentní hladina ak. tlaku</t>
  </si>
  <si>
    <t>půměrný akustický tlak</t>
  </si>
  <si>
    <t>průměrné hodnoty akustického tlaku (sloupcový graf):</t>
  </si>
  <si>
    <t>ekvivalentní hladiny akustického tlaku (sloupcový graf):</t>
  </si>
  <si>
    <t>časová závislost hladiny akustického tlaku (bodový graf):</t>
  </si>
  <si>
    <t>časová závislost akustického tlaku (bodový graf):</t>
  </si>
  <si>
    <t>0,1.LpAi</t>
  </si>
  <si>
    <t>4EA</t>
  </si>
  <si>
    <t>2026-03-17-M01</t>
  </si>
  <si>
    <t>2026-03-17-M02</t>
  </si>
  <si>
    <t>2026-03-17-M03</t>
  </si>
  <si>
    <t>na konci byl patrný hluk od leteckého motoru</t>
  </si>
  <si>
    <t>75 až 130</t>
  </si>
  <si>
    <t>hlasitý potlesk</t>
  </si>
  <si>
    <t>4EA L1</t>
  </si>
  <si>
    <t>[dB]</t>
  </si>
  <si>
    <t>P0*10^(LpA/20)</t>
  </si>
  <si>
    <t>10^(0,1.LpAi)</t>
  </si>
  <si>
    <t xml:space="preserve">Úkolem je změřit hluk ve třech režimech a naměřená data dále zpracovat. </t>
  </si>
  <si>
    <t xml:space="preserve"> Výsledky budou zobrazeny v tabulkách a grafech pro porovnání průběhu hluku.</t>
  </si>
  <si>
    <t>Hodnoty v decibelech se převedou na akustický tlak v Pascalech,</t>
  </si>
  <si>
    <t xml:space="preserve">  ze kterého se určí průměr a ekvivalentní hladina hluku.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</si>
</sst>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4" borderId="0" xfId="0" applyFill="1"/>
    <xf numFmtId="0" fontId="0" fillId="2" borderId="0" xfId="0" applyFill="1"/>
    <xf numFmtId="0" fontId="0" fillId="3" borderId="0" xfId="0" applyFill="1"/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00800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'M01'!$G$7:$G$37</c:f>
              <c:numCache>
                <c:formatCode>General</c:formatCode>
                <c:ptCount val="31"/>
                <c:pt idx="0">
                  <c:v>2.3040526448204644E-3</c:v>
                </c:pt>
                <c:pt idx="1">
                  <c:v>2.7249159799151356E-3</c:v>
                </c:pt>
                <c:pt idx="2">
                  <c:v>2.748956155081435E-3</c:v>
                </c:pt>
                <c:pt idx="3">
                  <c:v>2.3243798145726946E-3</c:v>
                </c:pt>
                <c:pt idx="4">
                  <c:v>2.0699177625918669E-3</c:v>
                </c:pt>
                <c:pt idx="5">
                  <c:v>1.8352352354080587E-3</c:v>
                </c:pt>
                <c:pt idx="6">
                  <c:v>1.7167222644283941E-3</c:v>
                </c:pt>
                <c:pt idx="7">
                  <c:v>1.6444021010611025E-3</c:v>
                </c:pt>
                <c:pt idx="8">
                  <c:v>1.604452523570242E-3</c:v>
                </c:pt>
                <c:pt idx="9">
                  <c:v>1.5668491561764302E-3</c:v>
                </c:pt>
                <c:pt idx="10">
                  <c:v>1.5765127089518596E-3</c:v>
                </c:pt>
                <c:pt idx="11">
                  <c:v>1.7394905971749672E-3</c:v>
                </c:pt>
                <c:pt idx="12">
                  <c:v>1.7288280385462204E-3</c:v>
                </c:pt>
                <c:pt idx="13">
                  <c:v>1.9210035374982132E-3</c:v>
                </c:pt>
                <c:pt idx="14">
                  <c:v>1.8416946128037579E-3</c:v>
                </c:pt>
                <c:pt idx="15">
                  <c:v>1.9914454901517678E-3</c:v>
                </c:pt>
                <c:pt idx="16">
                  <c:v>2.0410308812798357E-3</c:v>
                </c:pt>
                <c:pt idx="17">
                  <c:v>2.00021081906171E-3</c:v>
                </c:pt>
                <c:pt idx="18">
                  <c:v>2.0699177625918669E-3</c:v>
                </c:pt>
                <c:pt idx="19">
                  <c:v>2.3060773367759376E-3</c:v>
                </c:pt>
                <c:pt idx="20">
                  <c:v>2.3906396956689144E-3</c:v>
                </c:pt>
                <c:pt idx="21">
                  <c:v>2.872376066340083E-3</c:v>
                </c:pt>
                <c:pt idx="22">
                  <c:v>3.9165178736422362E-3</c:v>
                </c:pt>
                <c:pt idx="23">
                  <c:v>5.5799770491166915E-3</c:v>
                </c:pt>
                <c:pt idx="24">
                  <c:v>1.0401463484893167E-2</c:v>
                </c:pt>
                <c:pt idx="25">
                  <c:v>9.5017383478587236E-3</c:v>
                </c:pt>
                <c:pt idx="26">
                  <c:v>8.0060163054187731E-3</c:v>
                </c:pt>
                <c:pt idx="27">
                  <c:v>6.0815803056473543E-3</c:v>
                </c:pt>
                <c:pt idx="28">
                  <c:v>4.5632666309690737E-3</c:v>
                </c:pt>
                <c:pt idx="29">
                  <c:v>3.6991724726926057E-3</c:v>
                </c:pt>
                <c:pt idx="30">
                  <c:v>3.3910881379382919E-3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7A-4226-9162-167D1404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21136"/>
        <c:axId val="1313121616"/>
      </c:scatterChart>
      <c:valAx>
        <c:axId val="13131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3121616"/>
        <c:crosses val="autoZero"/>
        <c:crossBetween val="midCat"/>
      </c:valAx>
      <c:valAx>
        <c:axId val="13131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312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časová závislost akustického tlaku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M01</c:v>
          </c:tx>
          <c:xVal>
            <c:numRef>
              <c:f>'M01'!$B$7:$B$37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'M01'!$G$7:$G$37</c:f>
              <c:numCache>
                <c:formatCode>General</c:formatCode>
                <c:ptCount val="31"/>
                <c:pt idx="0">
                  <c:v>2.3040526448204644E-3</c:v>
                </c:pt>
                <c:pt idx="1">
                  <c:v>2.7249159799151356E-3</c:v>
                </c:pt>
                <c:pt idx="2">
                  <c:v>2.748956155081435E-3</c:v>
                </c:pt>
                <c:pt idx="3">
                  <c:v>2.3243798145726946E-3</c:v>
                </c:pt>
                <c:pt idx="4">
                  <c:v>2.0699177625918669E-3</c:v>
                </c:pt>
                <c:pt idx="5">
                  <c:v>1.8352352354080587E-3</c:v>
                </c:pt>
                <c:pt idx="6">
                  <c:v>1.7167222644283941E-3</c:v>
                </c:pt>
                <c:pt idx="7">
                  <c:v>1.6444021010611025E-3</c:v>
                </c:pt>
                <c:pt idx="8">
                  <c:v>1.604452523570242E-3</c:v>
                </c:pt>
                <c:pt idx="9">
                  <c:v>1.5668491561764302E-3</c:v>
                </c:pt>
                <c:pt idx="10">
                  <c:v>1.5765127089518596E-3</c:v>
                </c:pt>
                <c:pt idx="11">
                  <c:v>1.7394905971749672E-3</c:v>
                </c:pt>
                <c:pt idx="12">
                  <c:v>1.7288280385462204E-3</c:v>
                </c:pt>
                <c:pt idx="13">
                  <c:v>1.9210035374982132E-3</c:v>
                </c:pt>
                <c:pt idx="14">
                  <c:v>1.8416946128037579E-3</c:v>
                </c:pt>
                <c:pt idx="15">
                  <c:v>1.9914454901517678E-3</c:v>
                </c:pt>
                <c:pt idx="16">
                  <c:v>2.0410308812798357E-3</c:v>
                </c:pt>
                <c:pt idx="17">
                  <c:v>2.00021081906171E-3</c:v>
                </c:pt>
                <c:pt idx="18">
                  <c:v>2.0699177625918669E-3</c:v>
                </c:pt>
                <c:pt idx="19">
                  <c:v>2.3060773367759376E-3</c:v>
                </c:pt>
                <c:pt idx="20">
                  <c:v>2.3906396956689144E-3</c:v>
                </c:pt>
                <c:pt idx="21">
                  <c:v>2.872376066340083E-3</c:v>
                </c:pt>
                <c:pt idx="22">
                  <c:v>3.9165178736422362E-3</c:v>
                </c:pt>
                <c:pt idx="23">
                  <c:v>5.5799770491166915E-3</c:v>
                </c:pt>
                <c:pt idx="24">
                  <c:v>1.0401463484893167E-2</c:v>
                </c:pt>
                <c:pt idx="25">
                  <c:v>9.5017383478587236E-3</c:v>
                </c:pt>
                <c:pt idx="26">
                  <c:v>8.0060163054187731E-3</c:v>
                </c:pt>
                <c:pt idx="27">
                  <c:v>6.0815803056473543E-3</c:v>
                </c:pt>
                <c:pt idx="28">
                  <c:v>4.5632666309690737E-3</c:v>
                </c:pt>
                <c:pt idx="29">
                  <c:v>3.6991724726926057E-3</c:v>
                </c:pt>
                <c:pt idx="30">
                  <c:v>3.3910881379382919E-3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47-4D05-9798-683D980E16B9}"/>
            </c:ext>
          </c:extLst>
        </c:ser>
        <c:ser>
          <c:idx val="4"/>
          <c:order val="1"/>
          <c:tx>
            <c:v>'M02'</c:v>
          </c:tx>
          <c:xVal>
            <c:numRef>
              <c:f>'M02'!$B$7:$B$37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'M02'!$G$7:$G$37</c:f>
              <c:numCache>
                <c:formatCode>General</c:formatCode>
                <c:ptCount val="31"/>
                <c:pt idx="0">
                  <c:v>4.1596201879161708E-2</c:v>
                </c:pt>
                <c:pt idx="1">
                  <c:v>4.0124849689091885E-2</c:v>
                </c:pt>
                <c:pt idx="2">
                  <c:v>3.2785014599927297E-2</c:v>
                </c:pt>
                <c:pt idx="3">
                  <c:v>3.1597567690040955E-2</c:v>
                </c:pt>
                <c:pt idx="4">
                  <c:v>2.731050169871654E-2</c:v>
                </c:pt>
                <c:pt idx="5">
                  <c:v>2.9144622742937453E-2</c:v>
                </c:pt>
                <c:pt idx="6">
                  <c:v>4.7663012152561753E-2</c:v>
                </c:pt>
                <c:pt idx="7">
                  <c:v>3.9287839332298333E-2</c:v>
                </c:pt>
                <c:pt idx="8">
                  <c:v>3.1569825630662067E-2</c:v>
                </c:pt>
                <c:pt idx="9">
                  <c:v>3.7632764997633357E-2</c:v>
                </c:pt>
                <c:pt idx="10">
                  <c:v>4.8380067535522042E-2</c:v>
                </c:pt>
                <c:pt idx="11">
                  <c:v>8.0452110596979307E-2</c:v>
                </c:pt>
                <c:pt idx="12">
                  <c:v>4.9367402143934286E-2</c:v>
                </c:pt>
                <c:pt idx="13">
                  <c:v>0.11624472579361063</c:v>
                </c:pt>
                <c:pt idx="14">
                  <c:v>9.2105121511864341E-2</c:v>
                </c:pt>
                <c:pt idx="15">
                  <c:v>7.4076300988586932E-2</c:v>
                </c:pt>
                <c:pt idx="16">
                  <c:v>6.2032945457434881E-2</c:v>
                </c:pt>
                <c:pt idx="17">
                  <c:v>6.143646741590128E-2</c:v>
                </c:pt>
                <c:pt idx="18">
                  <c:v>5.226799082688878E-2</c:v>
                </c:pt>
                <c:pt idx="19">
                  <c:v>5.0154133204943552E-2</c:v>
                </c:pt>
                <c:pt idx="20">
                  <c:v>6.6548762040636103E-2</c:v>
                </c:pt>
                <c:pt idx="21">
                  <c:v>6.9965469924996665E-2</c:v>
                </c:pt>
                <c:pt idx="22">
                  <c:v>7.4011263414785297E-2</c:v>
                </c:pt>
                <c:pt idx="23">
                  <c:v>5.6319751898253056E-2</c:v>
                </c:pt>
                <c:pt idx="24">
                  <c:v>8.3990363058383061E-2</c:v>
                </c:pt>
                <c:pt idx="25">
                  <c:v>5.9786161971337418E-2</c:v>
                </c:pt>
                <c:pt idx="26">
                  <c:v>6.7431376770700324E-2</c:v>
                </c:pt>
                <c:pt idx="27">
                  <c:v>7.4337023307176744E-2</c:v>
                </c:pt>
                <c:pt idx="28">
                  <c:v>7.214981068167016E-2</c:v>
                </c:pt>
                <c:pt idx="29">
                  <c:v>4.392429507141446E-2</c:v>
                </c:pt>
                <c:pt idx="30">
                  <c:v>4.3885730380930577E-2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F47-4D05-9798-683D980E16B9}"/>
            </c:ext>
          </c:extLst>
        </c:ser>
        <c:ser>
          <c:idx val="5"/>
          <c:order val="2"/>
          <c:tx>
            <c:v>M03</c:v>
          </c:tx>
          <c:xVal>
            <c:numRef>
              <c:f>'M03'!$B$7:$B$36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'M03'!$G$7:$G$37</c:f>
              <c:numCache>
                <c:formatCode>General</c:formatCode>
                <c:ptCount val="31"/>
                <c:pt idx="0">
                  <c:v>0.84996724171741378</c:v>
                </c:pt>
                <c:pt idx="1">
                  <c:v>1.3082894033587631</c:v>
                </c:pt>
                <c:pt idx="2">
                  <c:v>1.347950035504673</c:v>
                </c:pt>
                <c:pt idx="3">
                  <c:v>1.3694312987429127</c:v>
                </c:pt>
                <c:pt idx="4">
                  <c:v>1.3986064379228145</c:v>
                </c:pt>
                <c:pt idx="5">
                  <c:v>1.4346902439900344</c:v>
                </c:pt>
                <c:pt idx="6">
                  <c:v>1.8655959630750174</c:v>
                </c:pt>
                <c:pt idx="7">
                  <c:v>1.2335176047295981</c:v>
                </c:pt>
                <c:pt idx="8">
                  <c:v>1.1930248847170091</c:v>
                </c:pt>
                <c:pt idx="9">
                  <c:v>1.3718391382648301</c:v>
                </c:pt>
                <c:pt idx="10">
                  <c:v>1.2378591493879951</c:v>
                </c:pt>
                <c:pt idx="11">
                  <c:v>1.252074980743024</c:v>
                </c:pt>
                <c:pt idx="12">
                  <c:v>1.2575859772072648</c:v>
                </c:pt>
                <c:pt idx="13">
                  <c:v>1.4084689613724277</c:v>
                </c:pt>
                <c:pt idx="14">
                  <c:v>1.3670276854546608</c:v>
                </c:pt>
                <c:pt idx="15">
                  <c:v>1.346766561169513</c:v>
                </c:pt>
                <c:pt idx="16">
                  <c:v>1.1701921179551986</c:v>
                </c:pt>
                <c:pt idx="17">
                  <c:v>1.1640411951134895</c:v>
                </c:pt>
                <c:pt idx="18">
                  <c:v>1.1701921179551986</c:v>
                </c:pt>
                <c:pt idx="19">
                  <c:v>1.2411253329054326</c:v>
                </c:pt>
                <c:pt idx="20">
                  <c:v>1.2024934793366648</c:v>
                </c:pt>
                <c:pt idx="21">
                  <c:v>1.1538614204586375</c:v>
                </c:pt>
                <c:pt idx="22">
                  <c:v>0.98425500613481653</c:v>
                </c:pt>
                <c:pt idx="23">
                  <c:v>1.0689706633769067</c:v>
                </c:pt>
                <c:pt idx="24">
                  <c:v>0.95697501919533512</c:v>
                </c:pt>
                <c:pt idx="25">
                  <c:v>0.91746615924254094</c:v>
                </c:pt>
                <c:pt idx="26">
                  <c:v>0.98685203624085271</c:v>
                </c:pt>
                <c:pt idx="27">
                  <c:v>0.98858719544288121</c:v>
                </c:pt>
                <c:pt idx="28">
                  <c:v>0.95781596327013663</c:v>
                </c:pt>
                <c:pt idx="29">
                  <c:v>1.1538614204586375</c:v>
                </c:pt>
                <c:pt idx="30">
                  <c:v>1.1794794974004859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F47-4D05-9798-683D980E16B9}"/>
            </c:ext>
          </c:extLst>
        </c:ser>
        <c:ser>
          <c:idx val="0"/>
          <c:order val="3"/>
          <c:tx>
            <c:v>M01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'M01'!$B$7:$B$37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'M01'!$G$7:$G$37</c:f>
              <c:numCache>
                <c:formatCode>General</c:formatCode>
                <c:ptCount val="31"/>
                <c:pt idx="0">
                  <c:v>2.3040526448204644E-3</c:v>
                </c:pt>
                <c:pt idx="1">
                  <c:v>2.7249159799151356E-3</c:v>
                </c:pt>
                <c:pt idx="2">
                  <c:v>2.748956155081435E-3</c:v>
                </c:pt>
                <c:pt idx="3">
                  <c:v>2.3243798145726946E-3</c:v>
                </c:pt>
                <c:pt idx="4">
                  <c:v>2.0699177625918669E-3</c:v>
                </c:pt>
                <c:pt idx="5">
                  <c:v>1.8352352354080587E-3</c:v>
                </c:pt>
                <c:pt idx="6">
                  <c:v>1.7167222644283941E-3</c:v>
                </c:pt>
                <c:pt idx="7">
                  <c:v>1.6444021010611025E-3</c:v>
                </c:pt>
                <c:pt idx="8">
                  <c:v>1.604452523570242E-3</c:v>
                </c:pt>
                <c:pt idx="9">
                  <c:v>1.5668491561764302E-3</c:v>
                </c:pt>
                <c:pt idx="10">
                  <c:v>1.5765127089518596E-3</c:v>
                </c:pt>
                <c:pt idx="11">
                  <c:v>1.7394905971749672E-3</c:v>
                </c:pt>
                <c:pt idx="12">
                  <c:v>1.7288280385462204E-3</c:v>
                </c:pt>
                <c:pt idx="13">
                  <c:v>1.9210035374982132E-3</c:v>
                </c:pt>
                <c:pt idx="14">
                  <c:v>1.8416946128037579E-3</c:v>
                </c:pt>
                <c:pt idx="15">
                  <c:v>1.9914454901517678E-3</c:v>
                </c:pt>
                <c:pt idx="16">
                  <c:v>2.0410308812798357E-3</c:v>
                </c:pt>
                <c:pt idx="17">
                  <c:v>2.00021081906171E-3</c:v>
                </c:pt>
                <c:pt idx="18">
                  <c:v>2.0699177625918669E-3</c:v>
                </c:pt>
                <c:pt idx="19">
                  <c:v>2.3060773367759376E-3</c:v>
                </c:pt>
                <c:pt idx="20">
                  <c:v>2.3906396956689144E-3</c:v>
                </c:pt>
                <c:pt idx="21">
                  <c:v>2.872376066340083E-3</c:v>
                </c:pt>
                <c:pt idx="22">
                  <c:v>3.9165178736422362E-3</c:v>
                </c:pt>
                <c:pt idx="23">
                  <c:v>5.5799770491166915E-3</c:v>
                </c:pt>
                <c:pt idx="24">
                  <c:v>1.0401463484893167E-2</c:v>
                </c:pt>
                <c:pt idx="25">
                  <c:v>9.5017383478587236E-3</c:v>
                </c:pt>
                <c:pt idx="26">
                  <c:v>8.0060163054187731E-3</c:v>
                </c:pt>
                <c:pt idx="27">
                  <c:v>6.0815803056473543E-3</c:v>
                </c:pt>
                <c:pt idx="28">
                  <c:v>4.5632666309690737E-3</c:v>
                </c:pt>
                <c:pt idx="29">
                  <c:v>3.6991724726926057E-3</c:v>
                </c:pt>
                <c:pt idx="30">
                  <c:v>3.3910881379382919E-3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47-4D05-9798-683D980E16B9}"/>
            </c:ext>
          </c:extLst>
        </c:ser>
        <c:ser>
          <c:idx val="1"/>
          <c:order val="4"/>
          <c:tx>
            <c:v>'M02'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'M02'!$B$7:$B$37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'M02'!$G$7:$G$37</c:f>
              <c:numCache>
                <c:formatCode>General</c:formatCode>
                <c:ptCount val="31"/>
                <c:pt idx="0">
                  <c:v>4.1596201879161708E-2</c:v>
                </c:pt>
                <c:pt idx="1">
                  <c:v>4.0124849689091885E-2</c:v>
                </c:pt>
                <c:pt idx="2">
                  <c:v>3.2785014599927297E-2</c:v>
                </c:pt>
                <c:pt idx="3">
                  <c:v>3.1597567690040955E-2</c:v>
                </c:pt>
                <c:pt idx="4">
                  <c:v>2.731050169871654E-2</c:v>
                </c:pt>
                <c:pt idx="5">
                  <c:v>2.9144622742937453E-2</c:v>
                </c:pt>
                <c:pt idx="6">
                  <c:v>4.7663012152561753E-2</c:v>
                </c:pt>
                <c:pt idx="7">
                  <c:v>3.9287839332298333E-2</c:v>
                </c:pt>
                <c:pt idx="8">
                  <c:v>3.1569825630662067E-2</c:v>
                </c:pt>
                <c:pt idx="9">
                  <c:v>3.7632764997633357E-2</c:v>
                </c:pt>
                <c:pt idx="10">
                  <c:v>4.8380067535522042E-2</c:v>
                </c:pt>
                <c:pt idx="11">
                  <c:v>8.0452110596979307E-2</c:v>
                </c:pt>
                <c:pt idx="12">
                  <c:v>4.9367402143934286E-2</c:v>
                </c:pt>
                <c:pt idx="13">
                  <c:v>0.11624472579361063</c:v>
                </c:pt>
                <c:pt idx="14">
                  <c:v>9.2105121511864341E-2</c:v>
                </c:pt>
                <c:pt idx="15">
                  <c:v>7.4076300988586932E-2</c:v>
                </c:pt>
                <c:pt idx="16">
                  <c:v>6.2032945457434881E-2</c:v>
                </c:pt>
                <c:pt idx="17">
                  <c:v>6.143646741590128E-2</c:v>
                </c:pt>
                <c:pt idx="18">
                  <c:v>5.226799082688878E-2</c:v>
                </c:pt>
                <c:pt idx="19">
                  <c:v>5.0154133204943552E-2</c:v>
                </c:pt>
                <c:pt idx="20">
                  <c:v>6.6548762040636103E-2</c:v>
                </c:pt>
                <c:pt idx="21">
                  <c:v>6.9965469924996665E-2</c:v>
                </c:pt>
                <c:pt idx="22">
                  <c:v>7.4011263414785297E-2</c:v>
                </c:pt>
                <c:pt idx="23">
                  <c:v>5.6319751898253056E-2</c:v>
                </c:pt>
                <c:pt idx="24">
                  <c:v>8.3990363058383061E-2</c:v>
                </c:pt>
                <c:pt idx="25">
                  <c:v>5.9786161971337418E-2</c:v>
                </c:pt>
                <c:pt idx="26">
                  <c:v>6.7431376770700324E-2</c:v>
                </c:pt>
                <c:pt idx="27">
                  <c:v>7.4337023307176744E-2</c:v>
                </c:pt>
                <c:pt idx="28">
                  <c:v>7.214981068167016E-2</c:v>
                </c:pt>
                <c:pt idx="29">
                  <c:v>4.392429507141446E-2</c:v>
                </c:pt>
                <c:pt idx="30">
                  <c:v>4.3885730380930577E-2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47-4D05-9798-683D980E16B9}"/>
            </c:ext>
          </c:extLst>
        </c:ser>
        <c:ser>
          <c:idx val="2"/>
          <c:order val="5"/>
          <c:tx>
            <c:v>M03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'M03'!$B$7:$B$36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'M03'!$G$7:$G$37</c:f>
              <c:numCache>
                <c:formatCode>General</c:formatCode>
                <c:ptCount val="31"/>
                <c:pt idx="0">
                  <c:v>0.84996724171741378</c:v>
                </c:pt>
                <c:pt idx="1">
                  <c:v>1.3082894033587631</c:v>
                </c:pt>
                <c:pt idx="2">
                  <c:v>1.347950035504673</c:v>
                </c:pt>
                <c:pt idx="3">
                  <c:v>1.3694312987429127</c:v>
                </c:pt>
                <c:pt idx="4">
                  <c:v>1.3986064379228145</c:v>
                </c:pt>
                <c:pt idx="5">
                  <c:v>1.4346902439900344</c:v>
                </c:pt>
                <c:pt idx="6">
                  <c:v>1.8655959630750174</c:v>
                </c:pt>
                <c:pt idx="7">
                  <c:v>1.2335176047295981</c:v>
                </c:pt>
                <c:pt idx="8">
                  <c:v>1.1930248847170091</c:v>
                </c:pt>
                <c:pt idx="9">
                  <c:v>1.3718391382648301</c:v>
                </c:pt>
                <c:pt idx="10">
                  <c:v>1.2378591493879951</c:v>
                </c:pt>
                <c:pt idx="11">
                  <c:v>1.252074980743024</c:v>
                </c:pt>
                <c:pt idx="12">
                  <c:v>1.2575859772072648</c:v>
                </c:pt>
                <c:pt idx="13">
                  <c:v>1.4084689613724277</c:v>
                </c:pt>
                <c:pt idx="14">
                  <c:v>1.3670276854546608</c:v>
                </c:pt>
                <c:pt idx="15">
                  <c:v>1.346766561169513</c:v>
                </c:pt>
                <c:pt idx="16">
                  <c:v>1.1701921179551986</c:v>
                </c:pt>
                <c:pt idx="17">
                  <c:v>1.1640411951134895</c:v>
                </c:pt>
                <c:pt idx="18">
                  <c:v>1.1701921179551986</c:v>
                </c:pt>
                <c:pt idx="19">
                  <c:v>1.2411253329054326</c:v>
                </c:pt>
                <c:pt idx="20">
                  <c:v>1.2024934793366648</c:v>
                </c:pt>
                <c:pt idx="21">
                  <c:v>1.1538614204586375</c:v>
                </c:pt>
                <c:pt idx="22">
                  <c:v>0.98425500613481653</c:v>
                </c:pt>
                <c:pt idx="23">
                  <c:v>1.0689706633769067</c:v>
                </c:pt>
                <c:pt idx="24">
                  <c:v>0.95697501919533512</c:v>
                </c:pt>
                <c:pt idx="25">
                  <c:v>0.91746615924254094</c:v>
                </c:pt>
                <c:pt idx="26">
                  <c:v>0.98685203624085271</c:v>
                </c:pt>
                <c:pt idx="27">
                  <c:v>0.98858719544288121</c:v>
                </c:pt>
                <c:pt idx="28">
                  <c:v>0.95781596327013663</c:v>
                </c:pt>
                <c:pt idx="29">
                  <c:v>1.1538614204586375</c:v>
                </c:pt>
                <c:pt idx="30">
                  <c:v>1.1794794974004859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47-4D05-9798-683D980E1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21136"/>
        <c:axId val="1313121616"/>
      </c:scatterChart>
      <c:valAx>
        <c:axId val="13131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3121616"/>
        <c:crosses val="autoZero"/>
        <c:crossBetween val="midCat"/>
      </c:valAx>
      <c:valAx>
        <c:axId val="13131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Tlak</a:t>
                </a:r>
                <a:r>
                  <a:rPr lang="cs-CZ" baseline="0"/>
                  <a:t> [Pa]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3121136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časová závislost hladiny akustického tlaku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M01</c:v>
          </c:tx>
          <c:xVal>
            <c:numRef>
              <c:f>'M01'!$B$7:$B$37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'M01'!$J$7:$J$37</c:f>
              <c:numCache>
                <c:formatCode>General</c:formatCode>
                <c:ptCount val="31"/>
                <c:pt idx="0">
                  <c:v>13271.646475260468</c:v>
                </c:pt>
                <c:pt idx="1">
                  <c:v>18562.917743992195</c:v>
                </c:pt>
                <c:pt idx="2">
                  <c:v>18891.899856400269</c:v>
                </c:pt>
                <c:pt idx="3">
                  <c:v>13506.853805982488</c:v>
                </c:pt>
                <c:pt idx="4">
                  <c:v>10711.398859733321</c:v>
                </c:pt>
                <c:pt idx="5">
                  <c:v>8420.2209232081968</c:v>
                </c:pt>
                <c:pt idx="6">
                  <c:v>7367.8383329603848</c:v>
                </c:pt>
                <c:pt idx="7">
                  <c:v>6760.145674935422</c:v>
                </c:pt>
                <c:pt idx="8">
                  <c:v>6435.6697509772957</c:v>
                </c:pt>
                <c:pt idx="9">
                  <c:v>6137.54069552698</c:v>
                </c:pt>
                <c:pt idx="10">
                  <c:v>6213.4808037168286</c:v>
                </c:pt>
                <c:pt idx="11">
                  <c:v>7564.5688441503107</c:v>
                </c:pt>
                <c:pt idx="12">
                  <c:v>7472.1159671589448</c:v>
                </c:pt>
                <c:pt idx="13">
                  <c:v>9225.6364777016224</c:v>
                </c:pt>
                <c:pt idx="14">
                  <c:v>8479.5976170759604</c:v>
                </c:pt>
                <c:pt idx="15">
                  <c:v>9914.6378506145375</c:v>
                </c:pt>
                <c:pt idx="16">
                  <c:v>10414.517645844875</c:v>
                </c:pt>
                <c:pt idx="17">
                  <c:v>10002.108301728813</c:v>
                </c:pt>
                <c:pt idx="18">
                  <c:v>10711.398859733321</c:v>
                </c:pt>
                <c:pt idx="19">
                  <c:v>13294.981707979001</c:v>
                </c:pt>
                <c:pt idx="20">
                  <c:v>14287.8953862699</c:v>
                </c:pt>
                <c:pt idx="21">
                  <c:v>20626.360666208326</c:v>
                </c:pt>
                <c:pt idx="22">
                  <c:v>38347.780636397765</c:v>
                </c:pt>
                <c:pt idx="23">
                  <c:v>77840.35967167269</c:v>
                </c:pt>
                <c:pt idx="24">
                  <c:v>270476.10656891484</c:v>
                </c:pt>
                <c:pt idx="25">
                  <c:v>225707.57907792303</c:v>
                </c:pt>
                <c:pt idx="26">
                  <c:v>160240.74270657875</c:v>
                </c:pt>
                <c:pt idx="27">
                  <c:v>92464.047535094403</c:v>
                </c:pt>
                <c:pt idx="28">
                  <c:v>52058.505863289611</c:v>
                </c:pt>
                <c:pt idx="29">
                  <c:v>34209.692456816818</c:v>
                </c:pt>
                <c:pt idx="30">
                  <c:v>28748.696898164479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57-4215-9D5B-4DF4D11667A8}"/>
            </c:ext>
          </c:extLst>
        </c:ser>
        <c:ser>
          <c:idx val="1"/>
          <c:order val="1"/>
          <c:tx>
            <c:v>M02</c:v>
          </c:tx>
          <c:xVal>
            <c:numRef>
              <c:f>'M02'!$B$7:$B$37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'M02'!$J$7:$J$37</c:f>
              <c:numCache>
                <c:formatCode>General</c:formatCode>
                <c:ptCount val="31"/>
                <c:pt idx="0">
                  <c:v>4325610.026929941</c:v>
                </c:pt>
                <c:pt idx="1">
                  <c:v>4025008.9064305439</c:v>
                </c:pt>
                <c:pt idx="2">
                  <c:v>2687142.955793615</c:v>
                </c:pt>
                <c:pt idx="3">
                  <c:v>2496015.7098168004</c:v>
                </c:pt>
                <c:pt idx="4">
                  <c:v>1864658.7575890012</c:v>
                </c:pt>
                <c:pt idx="5">
                  <c:v>2123522.5870703678</c:v>
                </c:pt>
                <c:pt idx="6">
                  <c:v>5679406.8186381357</c:v>
                </c:pt>
                <c:pt idx="7">
                  <c:v>3858835.7985012271</c:v>
                </c:pt>
                <c:pt idx="8">
                  <c:v>2491634.7258760198</c:v>
                </c:pt>
                <c:pt idx="9">
                  <c:v>3540562.5034177522</c:v>
                </c:pt>
                <c:pt idx="10">
                  <c:v>5851577.3368541859</c:v>
                </c:pt>
                <c:pt idx="11">
                  <c:v>16181355.248771532</c:v>
                </c:pt>
                <c:pt idx="12">
                  <c:v>6092850.9861023193</c:v>
                </c:pt>
                <c:pt idx="13">
                  <c:v>33782090.687079318</c:v>
                </c:pt>
                <c:pt idx="14">
                  <c:v>21208383.521788239</c:v>
                </c:pt>
                <c:pt idx="15">
                  <c:v>13718245.920379315</c:v>
                </c:pt>
                <c:pt idx="16">
                  <c:v>9620215.8053127285</c:v>
                </c:pt>
                <c:pt idx="17">
                  <c:v>9436098.8213627506</c:v>
                </c:pt>
                <c:pt idx="18">
                  <c:v>6829857.1626993231</c:v>
                </c:pt>
                <c:pt idx="19">
                  <c:v>6288592.693848066</c:v>
                </c:pt>
                <c:pt idx="20">
                  <c:v>11071844.322853023</c:v>
                </c:pt>
                <c:pt idx="21">
                  <c:v>12237917.454564031</c:v>
                </c:pt>
                <c:pt idx="22">
                  <c:v>13694167.780631842</c:v>
                </c:pt>
                <c:pt idx="23">
                  <c:v>7929786.1347019495</c:v>
                </c:pt>
                <c:pt idx="24">
                  <c:v>17635952.716697495</c:v>
                </c:pt>
                <c:pt idx="25">
                  <c:v>8935962.9081574827</c:v>
                </c:pt>
                <c:pt idx="26">
                  <c:v>11367476.43298036</c:v>
                </c:pt>
                <c:pt idx="27">
                  <c:v>13814982.585429396</c:v>
                </c:pt>
                <c:pt idx="28">
                  <c:v>13013987.953502115</c:v>
                </c:pt>
                <c:pt idx="29">
                  <c:v>4823359.2438017121</c:v>
                </c:pt>
                <c:pt idx="30">
                  <c:v>4814893.3276693346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57-4215-9D5B-4DF4D11667A8}"/>
            </c:ext>
          </c:extLst>
        </c:ser>
        <c:ser>
          <c:idx val="2"/>
          <c:order val="2"/>
          <c:tx>
            <c:v>M03</c:v>
          </c:tx>
          <c:xVal>
            <c:numRef>
              <c:f>'M03'!$B$7:$B$37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'M03'!$J$7:$J$37</c:f>
              <c:numCache>
                <c:formatCode>General</c:formatCode>
                <c:ptCount val="31"/>
                <c:pt idx="0">
                  <c:v>1806110779.9817715</c:v>
                </c:pt>
                <c:pt idx="1">
                  <c:v>4279052907.3520718</c:v>
                </c:pt>
                <c:pt idx="2">
                  <c:v>4542423245.5426407</c:v>
                </c:pt>
                <c:pt idx="3">
                  <c:v>4688355204.9417515</c:v>
                </c:pt>
                <c:pt idx="4">
                  <c:v>4890249920.4978933</c:v>
                </c:pt>
                <c:pt idx="5">
                  <c:v>5145840240.5004807</c:v>
                </c:pt>
                <c:pt idx="6">
                  <c:v>8701120743.6045055</c:v>
                </c:pt>
                <c:pt idx="7">
                  <c:v>3803914202.9446135</c:v>
                </c:pt>
                <c:pt idx="8">
                  <c:v>3558270938.8850827</c:v>
                </c:pt>
                <c:pt idx="9">
                  <c:v>4704856553.1879787</c:v>
                </c:pt>
                <c:pt idx="10">
                  <c:v>3830738184.3089266</c:v>
                </c:pt>
                <c:pt idx="11">
                  <c:v>3919229393.5066113</c:v>
                </c:pt>
                <c:pt idx="12">
                  <c:v>3953806225.1708789</c:v>
                </c:pt>
                <c:pt idx="13">
                  <c:v>4959462037.8738155</c:v>
                </c:pt>
                <c:pt idx="14">
                  <c:v>4671911731.9988527</c:v>
                </c:pt>
                <c:pt idx="15">
                  <c:v>4534450425.7108898</c:v>
                </c:pt>
                <c:pt idx="16">
                  <c:v>3423373982.3111844</c:v>
                </c:pt>
                <c:pt idx="17">
                  <c:v>3387479759.8031025</c:v>
                </c:pt>
                <c:pt idx="18">
                  <c:v>3423373982.3111844</c:v>
                </c:pt>
                <c:pt idx="19">
                  <c:v>3850980229.9490523</c:v>
                </c:pt>
                <c:pt idx="20">
                  <c:v>3614976419.6179967</c:v>
                </c:pt>
                <c:pt idx="21">
                  <c:v>3328490444.0570621</c:v>
                </c:pt>
                <c:pt idx="22">
                  <c:v>2421894792.7536201</c:v>
                </c:pt>
                <c:pt idx="23">
                  <c:v>2856745697.9011602</c:v>
                </c:pt>
                <c:pt idx="24">
                  <c:v>2289502968.4097805</c:v>
                </c:pt>
                <c:pt idx="25">
                  <c:v>2104360383.388149</c:v>
                </c:pt>
                <c:pt idx="26">
                  <c:v>2434692353.5817938</c:v>
                </c:pt>
                <c:pt idx="27">
                  <c:v>2443261607.4840541</c:v>
                </c:pt>
                <c:pt idx="28">
                  <c:v>2293528548.7377501</c:v>
                </c:pt>
                <c:pt idx="29">
                  <c:v>3328490444.0570621</c:v>
                </c:pt>
                <c:pt idx="30">
                  <c:v>3477929711.9702568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57-4215-9D5B-4DF4D116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21136"/>
        <c:axId val="1313121616"/>
      </c:scatterChart>
      <c:valAx>
        <c:axId val="13131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3121616"/>
        <c:crosses val="autoZero"/>
        <c:crossBetween val="midCat"/>
      </c:valAx>
      <c:valAx>
        <c:axId val="13131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baseline="0"/>
                  <a:t>hladina ak. tlaku [dB]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3121136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Průměrné hodnoty akustického tlaku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M01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'M01'!$G$39</c:f>
              <c:numCache>
                <c:formatCode>General</c:formatCode>
                <c:ptCount val="1"/>
                <c:pt idx="0">
                  <c:v>3.2309655416983183E-3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F-44A7-B67A-5B420385061C}"/>
            </c:ext>
          </c:extLst>
        </c:ser>
        <c:ser>
          <c:idx val="1"/>
          <c:order val="1"/>
          <c:tx>
            <c:v>M02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'M02'!$G$39</c:f>
              <c:numCache>
                <c:formatCode>General</c:formatCode>
                <c:ptCount val="1"/>
                <c:pt idx="0">
                  <c:v>5.6696112077709089E-2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F-44A7-B67A-5B420385061C}"/>
            </c:ext>
          </c:extLst>
        </c:ser>
        <c:ser>
          <c:idx val="2"/>
          <c:order val="2"/>
          <c:tx>
            <c:v>M03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'M03'!$G$39</c:f>
              <c:numCache>
                <c:formatCode>General</c:formatCode>
                <c:ptCount val="1"/>
                <c:pt idx="0">
                  <c:v>1.2109311029627474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F-44A7-B67A-5B4203850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156656"/>
        <c:axId val="1813157136"/>
      </c:barChart>
      <c:catAx>
        <c:axId val="181315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3157136"/>
        <c:crosses val="autoZero"/>
        <c:auto val="1"/>
        <c:lblAlgn val="ctr"/>
        <c:lblOffset val="100"/>
        <c:noMultiLvlLbl val="0"/>
      </c:catAx>
      <c:valAx>
        <c:axId val="18131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Tlak [Pa]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315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Ekvivalentní hladiny akustického tlaku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M01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'M01'!$J$39</c:f>
              <c:numCache>
                <c:formatCode>0.0</c:formatCode>
                <c:ptCount val="1"/>
                <c:pt idx="0">
                  <c:v>39302.159472968124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1B6-921E-F38CE0314B98}"/>
            </c:ext>
          </c:extLst>
        </c:ser>
        <c:ser>
          <c:idx val="1"/>
          <c:order val="1"/>
          <c:tx>
            <c:v>M02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'M02'!$J$39</c:f>
              <c:numCache>
                <c:formatCode>0.0</c:formatCode>
                <c:ptCount val="1"/>
                <c:pt idx="0">
                  <c:v>9078774.1237177383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5-41B6-921E-F38CE0314B98}"/>
            </c:ext>
          </c:extLst>
        </c:ser>
        <c:ser>
          <c:idx val="2"/>
          <c:order val="2"/>
          <c:tx>
            <c:v>M03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'M03'!$J$39</c:f>
              <c:numCache>
                <c:formatCode>0.0</c:formatCode>
                <c:ptCount val="1"/>
                <c:pt idx="0">
                  <c:v>3763512066.5271606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5-41B6-921E-F38CE0314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156656"/>
        <c:axId val="1813157136"/>
      </c:barChart>
      <c:catAx>
        <c:axId val="181315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3157136"/>
        <c:crosses val="autoZero"/>
        <c:auto val="1"/>
        <c:lblAlgn val="ctr"/>
        <c:lblOffset val="100"/>
        <c:noMultiLvlLbl val="0"/>
      </c:catAx>
      <c:valAx>
        <c:axId val="18131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Hladina ak. tlaku [dB]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1315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929640</xdr:colOff>
      <xdr:row>10</xdr:row>
      <xdr:rowOff>0</xdr:rowOff>
    </xdr:from>
    <xdr:to>
      <xdr:col>17</xdr:col>
      <xdr:colOff>586740</xdr:colOff>
      <xdr:row>25</xdr:row>
      <xdr:rowOff>0</xdr:rowOff>
    </xdr:to>
    <xdr:graphicFrame macro="">
      <xdr:nvGraphicFramePr>
        <xdr:cNvPr id="3" name="Graf 1">
          <a:extLst>
            <a:ext uri="{FF2B5EF4-FFF2-40B4-BE49-F238E27FC236}">
              <a16:creationId xmlns:a16="http://schemas.microsoft.com/office/drawing/2014/main" id="{79B5EAB2-DE06-18F0-54FC-A6AFDCDAA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179437</xdr:colOff>
      <xdr:row>2</xdr:row>
      <xdr:rowOff>178701</xdr:rowOff>
    </xdr:from>
    <xdr:to>
      <xdr:col>14</xdr:col>
      <xdr:colOff>655484</xdr:colOff>
      <xdr:row>25</xdr:row>
      <xdr:rowOff>8193</xdr:rowOff>
    </xdr:to>
    <xdr:graphicFrame macro="">
      <xdr:nvGraphicFramePr>
        <xdr:cNvPr id="2" name="Graf 2">
          <a:extLst>
            <a:ext uri="{FF2B5EF4-FFF2-40B4-BE49-F238E27FC236}">
              <a16:creationId xmlns:a16="http://schemas.microsoft.com/office/drawing/2014/main" id="{6AE60670-7293-4470-8F75-64723A027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14</xdr:col>
      <xdr:colOff>656305</xdr:colOff>
      <xdr:row>50</xdr:row>
      <xdr:rowOff>9751</xdr:rowOff>
    </xdr:to>
    <xdr:graphicFrame macro="">
      <xdr:nvGraphicFramePr>
        <xdr:cNvPr id="4" name="Graf 2">
          <a:extLst>
            <a:ext uri="{FF2B5EF4-FFF2-40B4-BE49-F238E27FC236}">
              <a16:creationId xmlns:a16="http://schemas.microsoft.com/office/drawing/2014/main" id="{09BEAAF0-F9EF-4F42-ABB2-35FFB244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24581</xdr:colOff>
      <xdr:row>53</xdr:row>
      <xdr:rowOff>8193</xdr:rowOff>
    </xdr:from>
    <xdr:to>
      <xdr:col>15</xdr:col>
      <xdr:colOff>8194</xdr:colOff>
      <xdr:row>75</xdr:row>
      <xdr:rowOff>8192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7BC62BC7-65B3-FC0B-FFFC-CAF63295D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78</xdr:row>
      <xdr:rowOff>0</xdr:rowOff>
    </xdr:from>
    <xdr:to>
      <xdr:col>14</xdr:col>
      <xdr:colOff>647290</xdr:colOff>
      <xdr:row>100</xdr:row>
      <xdr:rowOff>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6481A1D3-C130-47AB-AA2B-25AAD5CA5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opLeftCell="F1" zoomScaleNormal="100" workbookViewId="0">
      <selection activeCell="D7" sqref="D7"/>
    </sheetView>
  </sheetViews>
  <sheetFormatPr defaultRowHeight="14.4" x14ac:dyDescent="0.3"/>
  <cols>
    <col min="1" max="1" width="2.6640625" customWidth="1"/>
    <col min="2" max="3" width="18.6640625" style="1" customWidth="1"/>
    <col min="4" max="4" width="57.6640625" style="1" customWidth="1"/>
    <col min="5" max="9" width="18.6640625" style="1" customWidth="1"/>
    <col min="10" max="10" width="60.6640625" style="1" customWidth="1"/>
    <col min="11" max="11" width="2.6640625" customWidth="1"/>
  </cols>
  <sheetData>
    <row r="2" spans="2:10" x14ac:dyDescent="0.3">
      <c r="B2" s="1" t="s">
        <v>25</v>
      </c>
    </row>
    <row r="4" spans="2:10" x14ac:dyDescent="0.3">
      <c r="B4" s="1" t="s">
        <v>9</v>
      </c>
      <c r="C4" s="1" t="s">
        <v>16</v>
      </c>
      <c r="D4" s="1" t="s">
        <v>8</v>
      </c>
      <c r="E4" s="1" t="s">
        <v>14</v>
      </c>
      <c r="F4" s="1" t="s">
        <v>1</v>
      </c>
      <c r="G4" s="1" t="s">
        <v>3</v>
      </c>
      <c r="H4" s="1" t="s">
        <v>5</v>
      </c>
      <c r="I4" s="1" t="s">
        <v>7</v>
      </c>
      <c r="J4" s="1" t="s">
        <v>20</v>
      </c>
    </row>
    <row r="5" spans="2:10" x14ac:dyDescent="0.3">
      <c r="B5" s="1" t="s">
        <v>36</v>
      </c>
      <c r="C5" s="1" t="s">
        <v>35</v>
      </c>
      <c r="D5" s="1" t="s">
        <v>0</v>
      </c>
      <c r="E5" s="1" t="s">
        <v>15</v>
      </c>
      <c r="F5" s="1" t="s">
        <v>2</v>
      </c>
      <c r="G5" s="1" t="s">
        <v>4</v>
      </c>
      <c r="H5" s="1" t="s">
        <v>6</v>
      </c>
      <c r="I5" s="1" t="s">
        <v>21</v>
      </c>
      <c r="J5" s="1" t="s">
        <v>39</v>
      </c>
    </row>
    <row r="6" spans="2:10" x14ac:dyDescent="0.3">
      <c r="B6" s="1" t="s">
        <v>37</v>
      </c>
      <c r="C6" s="1" t="s">
        <v>35</v>
      </c>
      <c r="D6" s="1" t="s">
        <v>13</v>
      </c>
      <c r="E6" s="1" t="s">
        <v>15</v>
      </c>
      <c r="F6" s="1" t="s">
        <v>2</v>
      </c>
      <c r="G6" s="1" t="s">
        <v>4</v>
      </c>
      <c r="H6" s="1" t="s">
        <v>6</v>
      </c>
      <c r="I6" s="1" t="s">
        <v>21</v>
      </c>
    </row>
    <row r="7" spans="2:10" x14ac:dyDescent="0.3">
      <c r="B7" s="1" t="s">
        <v>38</v>
      </c>
      <c r="C7" s="1" t="s">
        <v>35</v>
      </c>
      <c r="D7" s="1" t="s">
        <v>41</v>
      </c>
      <c r="E7" s="1" t="s">
        <v>15</v>
      </c>
      <c r="F7" s="1" t="s">
        <v>2</v>
      </c>
      <c r="G7" s="1" t="s">
        <v>40</v>
      </c>
      <c r="H7" s="1" t="s">
        <v>6</v>
      </c>
      <c r="I7" s="1" t="s">
        <v>21</v>
      </c>
    </row>
    <row r="8" spans="2:10" x14ac:dyDescent="0.3">
      <c r="B8"/>
      <c r="C8"/>
      <c r="D8"/>
      <c r="E8"/>
      <c r="F8"/>
      <c r="G8"/>
      <c r="H8"/>
      <c r="I8"/>
      <c r="J8"/>
    </row>
    <row r="9" spans="2:10" x14ac:dyDescent="0.3">
      <c r="B9"/>
      <c r="C9" s="12" t="s">
        <v>42</v>
      </c>
      <c r="D9"/>
      <c r="E9"/>
      <c r="F9"/>
      <c r="G9"/>
      <c r="H9"/>
      <c r="I9"/>
      <c r="J9"/>
    </row>
    <row r="10" spans="2:10" x14ac:dyDescent="0.3">
      <c r="B10"/>
      <c r="C10"/>
      <c r="D10"/>
      <c r="E10"/>
      <c r="F10"/>
      <c r="G10"/>
      <c r="H10"/>
      <c r="I10"/>
      <c r="J10"/>
    </row>
    <row r="11" spans="2:10" x14ac:dyDescent="0.3">
      <c r="B11"/>
      <c r="C11"/>
      <c r="D11"/>
      <c r="E11"/>
      <c r="F11"/>
      <c r="G11"/>
      <c r="H11"/>
      <c r="I11"/>
      <c r="J11"/>
    </row>
    <row r="12" spans="2:10" x14ac:dyDescent="0.3">
      <c r="B12"/>
      <c r="C12"/>
      <c r="D12"/>
      <c r="E12"/>
      <c r="F12"/>
      <c r="G12"/>
      <c r="H12"/>
      <c r="I12"/>
      <c r="J12"/>
    </row>
    <row r="13" spans="2:10" x14ac:dyDescent="0.3">
      <c r="B13"/>
      <c r="C13"/>
      <c r="D13"/>
      <c r="E13"/>
      <c r="F13"/>
      <c r="G13"/>
      <c r="H13"/>
      <c r="I13"/>
      <c r="J13"/>
    </row>
    <row r="14" spans="2:10" x14ac:dyDescent="0.3">
      <c r="B14"/>
      <c r="C14"/>
      <c r="D14"/>
      <c r="E14"/>
      <c r="F14"/>
      <c r="G14"/>
      <c r="H14"/>
      <c r="I14"/>
      <c r="J14"/>
    </row>
    <row r="15" spans="2:10" x14ac:dyDescent="0.3">
      <c r="B15"/>
      <c r="C15"/>
      <c r="D15"/>
      <c r="E15"/>
      <c r="F15"/>
      <c r="G15"/>
      <c r="H15"/>
      <c r="I15"/>
      <c r="J15"/>
    </row>
    <row r="16" spans="2:10" x14ac:dyDescent="0.3">
      <c r="B16"/>
      <c r="C16"/>
      <c r="D16"/>
      <c r="E16"/>
      <c r="F16"/>
      <c r="G16"/>
      <c r="H16"/>
      <c r="I16"/>
      <c r="J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69"/>
  <sheetViews>
    <sheetView zoomScale="103" workbookViewId="0">
      <selection activeCell="E6" sqref="E6:J6"/>
    </sheetView>
  </sheetViews>
  <sheetFormatPr defaultRowHeight="14.4" x14ac:dyDescent="0.3"/>
  <cols>
    <col min="1" max="1" width="2.6640625" customWidth="1"/>
    <col min="2" max="3" width="12.6640625" style="1" customWidth="1"/>
    <col min="4" max="4" width="2.6640625" customWidth="1"/>
    <col min="5" max="7" width="15.6640625" customWidth="1"/>
    <col min="8" max="8" width="2.6640625" customWidth="1"/>
    <col min="9" max="10" width="15.6640625" customWidth="1"/>
    <col min="11" max="11" width="2.6640625" customWidth="1"/>
  </cols>
  <sheetData>
    <row r="4" spans="2:10" x14ac:dyDescent="0.3">
      <c r="B4" s="14" t="s">
        <v>24</v>
      </c>
      <c r="C4" s="14"/>
      <c r="E4" s="14" t="s">
        <v>29</v>
      </c>
      <c r="F4" s="14"/>
      <c r="G4" s="14"/>
      <c r="I4" s="14" t="s">
        <v>28</v>
      </c>
      <c r="J4" s="14"/>
    </row>
    <row r="5" spans="2:10" x14ac:dyDescent="0.3">
      <c r="B5" s="1" t="s">
        <v>10</v>
      </c>
      <c r="C5" s="1" t="s">
        <v>12</v>
      </c>
      <c r="E5" s="1" t="s">
        <v>18</v>
      </c>
      <c r="F5" s="1" t="s">
        <v>19</v>
      </c>
      <c r="G5" s="1" t="s">
        <v>44</v>
      </c>
      <c r="I5" s="1" t="s">
        <v>34</v>
      </c>
      <c r="J5" s="1" t="s">
        <v>45</v>
      </c>
    </row>
    <row r="6" spans="2:10" x14ac:dyDescent="0.3">
      <c r="B6" s="1" t="s">
        <v>11</v>
      </c>
      <c r="C6" s="1" t="s">
        <v>17</v>
      </c>
      <c r="E6" s="1" t="s">
        <v>43</v>
      </c>
      <c r="F6" s="1" t="s">
        <v>43</v>
      </c>
      <c r="G6" s="1" t="s">
        <v>22</v>
      </c>
      <c r="I6" s="1" t="s">
        <v>43</v>
      </c>
      <c r="J6" s="1" t="s">
        <v>43</v>
      </c>
    </row>
    <row r="7" spans="2:10" x14ac:dyDescent="0.3">
      <c r="B7" s="1">
        <v>0</v>
      </c>
      <c r="C7" s="10">
        <v>41.229248046099997</v>
      </c>
      <c r="E7" s="1">
        <f>C7/20</f>
        <v>2.0614624023049997</v>
      </c>
      <c r="F7" s="1">
        <f>10^(E7)</f>
        <v>115.20263224102322</v>
      </c>
      <c r="G7" s="5">
        <f>20*10^-6*10^(E7)</f>
        <v>2.3040526448204644E-3</v>
      </c>
      <c r="I7" s="1">
        <f>0.1*C7</f>
        <v>4.1229248046100002</v>
      </c>
      <c r="J7" s="1">
        <f>10^I7</f>
        <v>13271.646475260468</v>
      </c>
    </row>
    <row r="8" spans="2:10" x14ac:dyDescent="0.3">
      <c r="B8" s="1">
        <v>1</v>
      </c>
      <c r="C8" s="10">
        <v>42.686462402300002</v>
      </c>
      <c r="E8" s="1">
        <f t="shared" ref="E8:E37" si="0">C8/20</f>
        <v>2.1343231201149999</v>
      </c>
      <c r="F8" s="1">
        <f t="shared" ref="F8:F37" si="1">10^(E8)</f>
        <v>136.24579899575679</v>
      </c>
      <c r="G8" s="5">
        <f t="shared" ref="G8:G37" si="2">20*10^-6*10^(E8)</f>
        <v>2.7249159799151356E-3</v>
      </c>
      <c r="I8" s="1">
        <f t="shared" ref="I8:I37" si="3">0.1*C8</f>
        <v>4.2686462402300007</v>
      </c>
      <c r="J8" s="1">
        <f t="shared" ref="J8:J37" si="4">10^I8</f>
        <v>18562.917743992195</v>
      </c>
    </row>
    <row r="9" spans="2:10" x14ac:dyDescent="0.3">
      <c r="B9" s="1">
        <v>2</v>
      </c>
      <c r="C9" s="10">
        <v>42.762756347699998</v>
      </c>
      <c r="E9" s="1">
        <f t="shared" si="0"/>
        <v>2.1381378173850001</v>
      </c>
      <c r="F9" s="1">
        <f t="shared" si="1"/>
        <v>137.44780775407176</v>
      </c>
      <c r="G9" s="5">
        <f t="shared" si="2"/>
        <v>2.748956155081435E-3</v>
      </c>
      <c r="I9" s="1">
        <f t="shared" si="3"/>
        <v>4.2762756347700002</v>
      </c>
      <c r="J9" s="1">
        <f t="shared" si="4"/>
        <v>18891.899856400269</v>
      </c>
    </row>
    <row r="10" spans="2:10" x14ac:dyDescent="0.3">
      <c r="B10" s="1">
        <v>3</v>
      </c>
      <c r="C10" s="10">
        <v>41.305541992199998</v>
      </c>
      <c r="E10" s="1">
        <f t="shared" si="0"/>
        <v>2.0652770996099998</v>
      </c>
      <c r="F10" s="1">
        <f t="shared" si="1"/>
        <v>116.21899072863474</v>
      </c>
      <c r="G10" s="5">
        <f t="shared" si="2"/>
        <v>2.3243798145726946E-3</v>
      </c>
      <c r="I10" s="1">
        <f t="shared" si="3"/>
        <v>4.1305541992199997</v>
      </c>
      <c r="J10" s="1">
        <f t="shared" si="4"/>
        <v>13506.853805982488</v>
      </c>
    </row>
    <row r="11" spans="2:10" x14ac:dyDescent="0.3">
      <c r="B11" s="1">
        <v>4</v>
      </c>
      <c r="C11" s="10">
        <v>40.298461914100002</v>
      </c>
      <c r="E11" s="1">
        <f t="shared" si="0"/>
        <v>2.0149230957049999</v>
      </c>
      <c r="F11" s="1">
        <f t="shared" si="1"/>
        <v>103.49588812959335</v>
      </c>
      <c r="G11" s="5">
        <f t="shared" si="2"/>
        <v>2.0699177625918669E-3</v>
      </c>
      <c r="I11" s="1">
        <f t="shared" si="3"/>
        <v>4.0298461914100008</v>
      </c>
      <c r="J11" s="1">
        <f t="shared" si="4"/>
        <v>10711.398859733321</v>
      </c>
    </row>
    <row r="12" spans="2:10" x14ac:dyDescent="0.3">
      <c r="B12" s="1">
        <v>5</v>
      </c>
      <c r="C12" s="10">
        <v>39.253234863300001</v>
      </c>
      <c r="E12" s="1">
        <f t="shared" si="0"/>
        <v>1.962661743165</v>
      </c>
      <c r="F12" s="1">
        <f t="shared" si="1"/>
        <v>91.761761770402941</v>
      </c>
      <c r="G12" s="5">
        <f t="shared" si="2"/>
        <v>1.8352352354080587E-3</v>
      </c>
      <c r="I12" s="1">
        <f t="shared" si="3"/>
        <v>3.9253234863300004</v>
      </c>
      <c r="J12" s="1">
        <f t="shared" si="4"/>
        <v>8420.2209232081968</v>
      </c>
    </row>
    <row r="13" spans="2:10" x14ac:dyDescent="0.3">
      <c r="B13" s="1">
        <v>6</v>
      </c>
      <c r="C13" s="10">
        <v>38.673400878899997</v>
      </c>
      <c r="E13" s="1">
        <f t="shared" si="0"/>
        <v>1.9336700439449999</v>
      </c>
      <c r="F13" s="1">
        <f t="shared" si="1"/>
        <v>85.836113221419708</v>
      </c>
      <c r="G13" s="5">
        <f t="shared" si="2"/>
        <v>1.7167222644283941E-3</v>
      </c>
      <c r="I13" s="1">
        <f t="shared" si="3"/>
        <v>3.8673400878899997</v>
      </c>
      <c r="J13" s="1">
        <f t="shared" si="4"/>
        <v>7367.8383329603848</v>
      </c>
    </row>
    <row r="14" spans="2:10" x14ac:dyDescent="0.3">
      <c r="B14" s="1">
        <v>7</v>
      </c>
      <c r="C14" s="10">
        <v>38.299560546899997</v>
      </c>
      <c r="E14" s="1">
        <f t="shared" si="0"/>
        <v>1.9149780273449999</v>
      </c>
      <c r="F14" s="1">
        <f t="shared" si="1"/>
        <v>82.220105053055136</v>
      </c>
      <c r="G14" s="5">
        <f t="shared" si="2"/>
        <v>1.6444021010611025E-3</v>
      </c>
      <c r="I14" s="1">
        <f t="shared" si="3"/>
        <v>3.8299560546899998</v>
      </c>
      <c r="J14" s="1">
        <f t="shared" si="4"/>
        <v>6760.145674935422</v>
      </c>
    </row>
    <row r="15" spans="2:10" x14ac:dyDescent="0.3">
      <c r="B15" s="1">
        <v>8</v>
      </c>
      <c r="C15" s="10">
        <v>38.0859375</v>
      </c>
      <c r="E15" s="1">
        <f t="shared" si="0"/>
        <v>1.904296875</v>
      </c>
      <c r="F15" s="1">
        <f t="shared" si="1"/>
        <v>80.222626178512101</v>
      </c>
      <c r="G15" s="5">
        <f t="shared" si="2"/>
        <v>1.604452523570242E-3</v>
      </c>
      <c r="I15" s="1">
        <f t="shared" si="3"/>
        <v>3.80859375</v>
      </c>
      <c r="J15" s="1">
        <f t="shared" si="4"/>
        <v>6435.6697509772957</v>
      </c>
    </row>
    <row r="16" spans="2:10" x14ac:dyDescent="0.3">
      <c r="B16" s="1">
        <v>9</v>
      </c>
      <c r="C16" s="10">
        <v>37.879943847699998</v>
      </c>
      <c r="E16" s="1">
        <f t="shared" si="0"/>
        <v>1.8939971923849999</v>
      </c>
      <c r="F16" s="1">
        <f t="shared" si="1"/>
        <v>78.342457808821521</v>
      </c>
      <c r="G16" s="5">
        <f t="shared" si="2"/>
        <v>1.5668491561764302E-3</v>
      </c>
      <c r="I16" s="1">
        <f t="shared" si="3"/>
        <v>3.7879943847700002</v>
      </c>
      <c r="J16" s="1">
        <f t="shared" si="4"/>
        <v>6137.54069552698</v>
      </c>
    </row>
    <row r="17" spans="2:10" x14ac:dyDescent="0.3">
      <c r="B17" s="1">
        <v>10</v>
      </c>
      <c r="C17" s="10">
        <v>37.933349609399997</v>
      </c>
      <c r="E17" s="1">
        <f t="shared" si="0"/>
        <v>1.8966674804699999</v>
      </c>
      <c r="F17" s="1">
        <f t="shared" si="1"/>
        <v>78.825635447592987</v>
      </c>
      <c r="G17" s="5">
        <f t="shared" si="2"/>
        <v>1.5765127089518596E-3</v>
      </c>
      <c r="I17" s="1">
        <f t="shared" si="3"/>
        <v>3.7933349609399998</v>
      </c>
      <c r="J17" s="1">
        <f t="shared" si="4"/>
        <v>6213.4808037168286</v>
      </c>
    </row>
    <row r="18" spans="2:10" x14ac:dyDescent="0.3">
      <c r="B18" s="1">
        <v>11</v>
      </c>
      <c r="C18" s="10">
        <v>38.787841796899997</v>
      </c>
      <c r="E18" s="1">
        <f t="shared" si="0"/>
        <v>1.9393920898449999</v>
      </c>
      <c r="F18" s="1">
        <f t="shared" si="1"/>
        <v>86.974529858748369</v>
      </c>
      <c r="G18" s="5">
        <f t="shared" si="2"/>
        <v>1.7394905971749672E-3</v>
      </c>
      <c r="I18" s="1">
        <f t="shared" si="3"/>
        <v>3.8787841796899998</v>
      </c>
      <c r="J18" s="1">
        <f t="shared" si="4"/>
        <v>7564.5688441503107</v>
      </c>
    </row>
    <row r="19" spans="2:10" x14ac:dyDescent="0.3">
      <c r="B19" s="1">
        <v>12</v>
      </c>
      <c r="C19" s="10">
        <v>38.734436035199998</v>
      </c>
      <c r="E19" s="1">
        <f t="shared" si="0"/>
        <v>1.9367218017599999</v>
      </c>
      <c r="F19" s="1">
        <f t="shared" si="1"/>
        <v>86.441401927311034</v>
      </c>
      <c r="G19" s="5">
        <f t="shared" si="2"/>
        <v>1.7288280385462204E-3</v>
      </c>
      <c r="I19" s="1">
        <f t="shared" si="3"/>
        <v>3.8734436035200002</v>
      </c>
      <c r="J19" s="1">
        <f t="shared" si="4"/>
        <v>7472.1159671589448</v>
      </c>
    </row>
    <row r="20" spans="2:10" x14ac:dyDescent="0.3">
      <c r="B20" s="1">
        <v>13</v>
      </c>
      <c r="C20" s="10">
        <v>39.649963378899997</v>
      </c>
      <c r="E20" s="1">
        <f t="shared" si="0"/>
        <v>1.9824981689449999</v>
      </c>
      <c r="F20" s="1">
        <f t="shared" si="1"/>
        <v>96.050176874910662</v>
      </c>
      <c r="G20" s="5">
        <f t="shared" si="2"/>
        <v>1.9210035374982132E-3</v>
      </c>
      <c r="I20" s="1">
        <f t="shared" si="3"/>
        <v>3.9649963378899997</v>
      </c>
      <c r="J20" s="1">
        <f t="shared" si="4"/>
        <v>9225.6364777016224</v>
      </c>
    </row>
    <row r="21" spans="2:10" x14ac:dyDescent="0.3">
      <c r="B21" s="1">
        <v>14</v>
      </c>
      <c r="C21" s="10">
        <v>39.283752441399997</v>
      </c>
      <c r="E21" s="1">
        <f t="shared" si="0"/>
        <v>1.9641876220699999</v>
      </c>
      <c r="F21" s="1">
        <f t="shared" si="1"/>
        <v>92.0847306401879</v>
      </c>
      <c r="G21" s="5">
        <f t="shared" si="2"/>
        <v>1.8416946128037579E-3</v>
      </c>
      <c r="I21" s="1">
        <f t="shared" si="3"/>
        <v>3.9283752441399997</v>
      </c>
      <c r="J21" s="1">
        <f t="shared" si="4"/>
        <v>8479.5976170759604</v>
      </c>
    </row>
    <row r="22" spans="2:10" x14ac:dyDescent="0.3">
      <c r="B22" s="1">
        <v>15</v>
      </c>
      <c r="C22" s="10">
        <v>39.962768554699998</v>
      </c>
      <c r="E22" s="1">
        <f t="shared" si="0"/>
        <v>1.9981384277349998</v>
      </c>
      <c r="F22" s="1">
        <f t="shared" si="1"/>
        <v>99.572274507588403</v>
      </c>
      <c r="G22" s="5">
        <f t="shared" si="2"/>
        <v>1.9914454901517678E-3</v>
      </c>
      <c r="I22" s="1">
        <f t="shared" si="3"/>
        <v>3.9962768554700001</v>
      </c>
      <c r="J22" s="1">
        <f t="shared" si="4"/>
        <v>9914.6378506145375</v>
      </c>
    </row>
    <row r="23" spans="2:10" x14ac:dyDescent="0.3">
      <c r="B23" s="1">
        <v>16</v>
      </c>
      <c r="C23" s="10">
        <v>40.176391601600002</v>
      </c>
      <c r="E23" s="1">
        <f t="shared" si="0"/>
        <v>2.0088195800799999</v>
      </c>
      <c r="F23" s="1">
        <f t="shared" si="1"/>
        <v>102.05154406399178</v>
      </c>
      <c r="G23" s="5">
        <f t="shared" si="2"/>
        <v>2.0410308812798357E-3</v>
      </c>
      <c r="I23" s="1">
        <f t="shared" si="3"/>
        <v>4.0176391601600008</v>
      </c>
      <c r="J23" s="1">
        <f t="shared" si="4"/>
        <v>10414.517645844875</v>
      </c>
    </row>
    <row r="24" spans="2:10" x14ac:dyDescent="0.3">
      <c r="B24" s="1">
        <v>17</v>
      </c>
      <c r="C24" s="10">
        <v>40.000915527300002</v>
      </c>
      <c r="E24" s="1">
        <f t="shared" si="0"/>
        <v>2.0000457763649999</v>
      </c>
      <c r="F24" s="1">
        <f t="shared" si="1"/>
        <v>100.01054095308551</v>
      </c>
      <c r="G24" s="5">
        <f t="shared" si="2"/>
        <v>2.00021081906171E-3</v>
      </c>
      <c r="I24" s="1">
        <f t="shared" si="3"/>
        <v>4.0000915527300007</v>
      </c>
      <c r="J24" s="1">
        <f t="shared" si="4"/>
        <v>10002.108301728813</v>
      </c>
    </row>
    <row r="25" spans="2:10" x14ac:dyDescent="0.3">
      <c r="B25" s="1">
        <v>18</v>
      </c>
      <c r="C25" s="10">
        <v>40.298461914100002</v>
      </c>
      <c r="E25" s="1">
        <f t="shared" si="0"/>
        <v>2.0149230957049999</v>
      </c>
      <c r="F25" s="1">
        <f t="shared" si="1"/>
        <v>103.49588812959335</v>
      </c>
      <c r="G25" s="5">
        <f t="shared" si="2"/>
        <v>2.0699177625918669E-3</v>
      </c>
      <c r="I25" s="1">
        <f t="shared" si="3"/>
        <v>4.0298461914100008</v>
      </c>
      <c r="J25" s="1">
        <f t="shared" si="4"/>
        <v>10711.398859733321</v>
      </c>
    </row>
    <row r="26" spans="2:10" x14ac:dyDescent="0.3">
      <c r="B26" s="1">
        <v>19</v>
      </c>
      <c r="C26" s="10">
        <v>41.236877441399997</v>
      </c>
      <c r="E26" s="1">
        <f t="shared" si="0"/>
        <v>2.0618438720699999</v>
      </c>
      <c r="F26" s="1">
        <f t="shared" si="1"/>
        <v>115.30386683879688</v>
      </c>
      <c r="G26" s="5">
        <f t="shared" si="2"/>
        <v>2.3060773367759376E-3</v>
      </c>
      <c r="I26" s="1">
        <f t="shared" si="3"/>
        <v>4.1236877441399997</v>
      </c>
      <c r="J26" s="1">
        <f t="shared" si="4"/>
        <v>13294.981707979001</v>
      </c>
    </row>
    <row r="27" spans="2:10" x14ac:dyDescent="0.3">
      <c r="B27" s="1">
        <v>20</v>
      </c>
      <c r="C27" s="10">
        <v>41.549682617199998</v>
      </c>
      <c r="E27" s="1">
        <f t="shared" si="0"/>
        <v>2.0774841308599998</v>
      </c>
      <c r="F27" s="1">
        <f t="shared" si="1"/>
        <v>119.53198478344572</v>
      </c>
      <c r="G27" s="5">
        <f t="shared" si="2"/>
        <v>2.3906396956689144E-3</v>
      </c>
      <c r="I27" s="1">
        <f t="shared" si="3"/>
        <v>4.1549682617199997</v>
      </c>
      <c r="J27" s="1">
        <f t="shared" si="4"/>
        <v>14287.8953862699</v>
      </c>
    </row>
    <row r="28" spans="2:10" x14ac:dyDescent="0.3">
      <c r="B28" s="1">
        <v>21</v>
      </c>
      <c r="C28" s="10">
        <v>43.144226074199999</v>
      </c>
      <c r="E28" s="1">
        <f t="shared" si="0"/>
        <v>2.15721130371</v>
      </c>
      <c r="F28" s="1">
        <f t="shared" si="1"/>
        <v>143.61880331700416</v>
      </c>
      <c r="G28" s="5">
        <f t="shared" si="2"/>
        <v>2.872376066340083E-3</v>
      </c>
      <c r="I28" s="1">
        <f t="shared" si="3"/>
        <v>4.3144226074200001</v>
      </c>
      <c r="J28" s="1">
        <f t="shared" si="4"/>
        <v>20626.360666208326</v>
      </c>
    </row>
    <row r="29" spans="2:10" x14ac:dyDescent="0.3">
      <c r="B29" s="1">
        <v>22</v>
      </c>
      <c r="C29" s="10">
        <v>45.837402343800001</v>
      </c>
      <c r="E29" s="1">
        <f t="shared" si="0"/>
        <v>2.2918701171900002</v>
      </c>
      <c r="F29" s="1">
        <f t="shared" si="1"/>
        <v>195.82589368211183</v>
      </c>
      <c r="G29" s="5">
        <f t="shared" si="2"/>
        <v>3.9165178736422362E-3</v>
      </c>
      <c r="I29" s="1">
        <f t="shared" si="3"/>
        <v>4.5837402343800004</v>
      </c>
      <c r="J29" s="1">
        <f t="shared" si="4"/>
        <v>38347.780636397765</v>
      </c>
    </row>
    <row r="30" spans="2:10" x14ac:dyDescent="0.3">
      <c r="B30" s="1">
        <v>23</v>
      </c>
      <c r="C30" s="10">
        <v>48.912048339800002</v>
      </c>
      <c r="E30" s="1">
        <f t="shared" si="0"/>
        <v>2.4456024169899999</v>
      </c>
      <c r="F30" s="1">
        <f t="shared" si="1"/>
        <v>278.99885245583459</v>
      </c>
      <c r="G30" s="5">
        <f t="shared" si="2"/>
        <v>5.5799770491166915E-3</v>
      </c>
      <c r="I30" s="1">
        <f t="shared" si="3"/>
        <v>4.8912048339800007</v>
      </c>
      <c r="J30" s="1">
        <f t="shared" si="4"/>
        <v>77840.35967167269</v>
      </c>
    </row>
    <row r="31" spans="2:10" x14ac:dyDescent="0.3">
      <c r="B31" s="1">
        <v>24</v>
      </c>
      <c r="C31" s="10">
        <v>54.3212890625</v>
      </c>
      <c r="E31" s="1">
        <f t="shared" si="0"/>
        <v>2.716064453125</v>
      </c>
      <c r="F31" s="1">
        <f t="shared" si="1"/>
        <v>520.07317424465839</v>
      </c>
      <c r="G31" s="5">
        <f t="shared" si="2"/>
        <v>1.0401463484893167E-2</v>
      </c>
      <c r="I31" s="1">
        <f t="shared" si="3"/>
        <v>5.43212890625</v>
      </c>
      <c r="J31" s="1">
        <f t="shared" si="4"/>
        <v>270476.10656891484</v>
      </c>
    </row>
    <row r="32" spans="2:10" x14ac:dyDescent="0.3">
      <c r="B32" s="1">
        <v>25</v>
      </c>
      <c r="C32" s="10">
        <v>53.535461425800001</v>
      </c>
      <c r="E32" s="1">
        <f t="shared" si="0"/>
        <v>2.67677307129</v>
      </c>
      <c r="F32" s="1">
        <f t="shared" si="1"/>
        <v>475.08691739293624</v>
      </c>
      <c r="G32" s="5">
        <f t="shared" si="2"/>
        <v>9.5017383478587236E-3</v>
      </c>
      <c r="I32" s="1">
        <f t="shared" si="3"/>
        <v>5.3535461425800008</v>
      </c>
      <c r="J32" s="1">
        <f t="shared" si="4"/>
        <v>225707.57907792303</v>
      </c>
    </row>
    <row r="33" spans="2:10" x14ac:dyDescent="0.3">
      <c r="B33" s="1">
        <v>26</v>
      </c>
      <c r="C33" s="10">
        <v>52.047729492199998</v>
      </c>
      <c r="E33" s="1">
        <f t="shared" si="0"/>
        <v>2.6023864746099998</v>
      </c>
      <c r="F33" s="1">
        <f t="shared" si="1"/>
        <v>400.3008152709387</v>
      </c>
      <c r="G33" s="5">
        <f t="shared" si="2"/>
        <v>8.0060163054187731E-3</v>
      </c>
      <c r="I33" s="1">
        <f t="shared" si="3"/>
        <v>5.2047729492200006</v>
      </c>
      <c r="J33" s="1">
        <f t="shared" si="4"/>
        <v>160240.74270657875</v>
      </c>
    </row>
    <row r="34" spans="2:10" x14ac:dyDescent="0.3">
      <c r="B34" s="1">
        <v>27</v>
      </c>
      <c r="C34" s="10">
        <v>49.659729003899997</v>
      </c>
      <c r="E34" s="1">
        <f t="shared" si="0"/>
        <v>2.4829864501949999</v>
      </c>
      <c r="F34" s="1">
        <f t="shared" si="1"/>
        <v>304.07901528236772</v>
      </c>
      <c r="G34" s="5">
        <f t="shared" si="2"/>
        <v>6.0815803056473543E-3</v>
      </c>
      <c r="I34" s="1">
        <f t="shared" si="3"/>
        <v>4.9659729003899997</v>
      </c>
      <c r="J34" s="1">
        <f t="shared" si="4"/>
        <v>92464.047535094403</v>
      </c>
    </row>
    <row r="35" spans="2:10" x14ac:dyDescent="0.3">
      <c r="B35" s="1">
        <v>28</v>
      </c>
      <c r="C35" s="10">
        <v>47.164916992199998</v>
      </c>
      <c r="E35" s="1">
        <f t="shared" si="0"/>
        <v>2.3582458496099998</v>
      </c>
      <c r="F35" s="1">
        <f t="shared" si="1"/>
        <v>228.1633315484537</v>
      </c>
      <c r="G35" s="5">
        <f t="shared" si="2"/>
        <v>4.5632666309690737E-3</v>
      </c>
      <c r="I35" s="1">
        <f t="shared" si="3"/>
        <v>4.7164916992199997</v>
      </c>
      <c r="J35" s="1">
        <f t="shared" si="4"/>
        <v>52058.505863289611</v>
      </c>
    </row>
    <row r="36" spans="2:10" x14ac:dyDescent="0.3">
      <c r="B36" s="1">
        <v>29</v>
      </c>
      <c r="C36" s="10">
        <v>45.341491699199999</v>
      </c>
      <c r="E36" s="1">
        <f t="shared" si="0"/>
        <v>2.26707458496</v>
      </c>
      <c r="F36" s="1">
        <f t="shared" si="1"/>
        <v>184.9586236346303</v>
      </c>
      <c r="G36" s="5">
        <f t="shared" si="2"/>
        <v>3.6991724726926057E-3</v>
      </c>
      <c r="I36" s="1">
        <f t="shared" si="3"/>
        <v>4.5341491699200001</v>
      </c>
      <c r="J36" s="1">
        <f t="shared" si="4"/>
        <v>34209.692456816818</v>
      </c>
    </row>
    <row r="37" spans="2:10" x14ac:dyDescent="0.3">
      <c r="B37" s="1">
        <v>30</v>
      </c>
      <c r="C37" s="10">
        <v>44.586181640600003</v>
      </c>
      <c r="E37" s="1">
        <f t="shared" si="0"/>
        <v>2.2293090820300003</v>
      </c>
      <c r="F37" s="1">
        <f t="shared" si="1"/>
        <v>169.5544068969146</v>
      </c>
      <c r="G37" s="5">
        <f t="shared" si="2"/>
        <v>3.3910881379382919E-3</v>
      </c>
      <c r="I37" s="1">
        <f t="shared" si="3"/>
        <v>4.4586181640600007</v>
      </c>
      <c r="J37" s="1">
        <f t="shared" si="4"/>
        <v>28748.696898164479</v>
      </c>
    </row>
    <row r="38" spans="2:10" x14ac:dyDescent="0.3">
      <c r="E38" s="1"/>
      <c r="F38" s="1"/>
      <c r="G38" s="1"/>
      <c r="I38" s="1"/>
      <c r="J38" s="13"/>
    </row>
    <row r="39" spans="2:10" x14ac:dyDescent="0.3">
      <c r="E39" s="1"/>
      <c r="F39" s="3" t="s">
        <v>27</v>
      </c>
      <c r="G39" s="3">
        <f>AVERAGE(G7:G37)</f>
        <v>3.2309655416983183E-3</v>
      </c>
      <c r="I39" s="4" t="s">
        <v>23</v>
      </c>
      <c r="J39" s="11">
        <f>SUM(J7:J37)/31</f>
        <v>39302.159472968124</v>
      </c>
    </row>
    <row r="40" spans="2:10" x14ac:dyDescent="0.3">
      <c r="E40" s="1"/>
      <c r="F40" s="1"/>
      <c r="G40" s="1"/>
      <c r="I40" s="1"/>
      <c r="J40" s="1"/>
    </row>
    <row r="41" spans="2:10" x14ac:dyDescent="0.3">
      <c r="E41" s="1"/>
      <c r="F41" s="1"/>
      <c r="G41" s="1"/>
      <c r="I41" s="1"/>
      <c r="J41" s="1"/>
    </row>
    <row r="42" spans="2:10" x14ac:dyDescent="0.3">
      <c r="E42" s="1"/>
      <c r="F42" s="1"/>
      <c r="G42" s="1"/>
      <c r="I42" s="1"/>
      <c r="J42" s="1"/>
    </row>
    <row r="43" spans="2:10" x14ac:dyDescent="0.3">
      <c r="E43" s="1"/>
      <c r="F43" s="1"/>
      <c r="G43" s="1"/>
      <c r="I43" s="1"/>
      <c r="J43" s="1"/>
    </row>
    <row r="44" spans="2:10" x14ac:dyDescent="0.3">
      <c r="E44" s="1"/>
      <c r="F44" s="1"/>
      <c r="G44" s="1"/>
      <c r="I44" s="1"/>
      <c r="J44" s="1"/>
    </row>
    <row r="45" spans="2:10" x14ac:dyDescent="0.3">
      <c r="E45" s="1"/>
      <c r="F45" s="1"/>
      <c r="G45" s="1"/>
      <c r="I45" s="1"/>
      <c r="J45" s="1"/>
    </row>
    <row r="46" spans="2:10" x14ac:dyDescent="0.3">
      <c r="E46" s="1"/>
      <c r="F46" s="1"/>
      <c r="G46" s="1"/>
      <c r="I46" s="1"/>
      <c r="J46" s="1"/>
    </row>
    <row r="47" spans="2:10" x14ac:dyDescent="0.3">
      <c r="E47" s="1"/>
      <c r="F47" s="1"/>
      <c r="G47" s="1"/>
      <c r="I47" s="1"/>
      <c r="J47" s="1"/>
    </row>
    <row r="48" spans="2:10" x14ac:dyDescent="0.3">
      <c r="E48" s="1"/>
      <c r="F48" s="1"/>
      <c r="G48" s="1"/>
      <c r="I48" s="1"/>
      <c r="J48" s="1"/>
    </row>
    <row r="49" spans="5:10" x14ac:dyDescent="0.3">
      <c r="E49" s="1"/>
      <c r="F49" s="1"/>
      <c r="G49" s="1"/>
      <c r="I49" s="1"/>
      <c r="J49" s="1"/>
    </row>
    <row r="50" spans="5:10" x14ac:dyDescent="0.3">
      <c r="E50" s="1"/>
      <c r="F50" s="1"/>
      <c r="G50" s="1"/>
      <c r="I50" s="1"/>
      <c r="J50" s="1"/>
    </row>
    <row r="51" spans="5:10" x14ac:dyDescent="0.3">
      <c r="E51" s="1"/>
      <c r="F51" s="1"/>
      <c r="G51" s="1"/>
      <c r="I51" s="1"/>
      <c r="J51" s="1"/>
    </row>
    <row r="52" spans="5:10" x14ac:dyDescent="0.3">
      <c r="E52" s="1"/>
      <c r="F52" s="1"/>
      <c r="G52" s="1"/>
      <c r="I52" s="1"/>
      <c r="J52" s="1"/>
    </row>
    <row r="53" spans="5:10" x14ac:dyDescent="0.3">
      <c r="E53" s="1"/>
      <c r="F53" s="1"/>
      <c r="G53" s="1"/>
      <c r="I53" s="1"/>
      <c r="J53" s="1"/>
    </row>
    <row r="54" spans="5:10" x14ac:dyDescent="0.3">
      <c r="E54" s="1"/>
      <c r="F54" s="1"/>
      <c r="G54" s="1"/>
      <c r="I54" s="1"/>
      <c r="J54" s="1"/>
    </row>
    <row r="55" spans="5:10" x14ac:dyDescent="0.3">
      <c r="E55" s="1"/>
      <c r="F55" s="1"/>
      <c r="G55" s="1"/>
      <c r="I55" s="1"/>
      <c r="J55" s="1"/>
    </row>
    <row r="56" spans="5:10" x14ac:dyDescent="0.3">
      <c r="E56" s="1"/>
      <c r="F56" s="1"/>
      <c r="G56" s="1"/>
      <c r="I56" s="1"/>
      <c r="J56" s="1"/>
    </row>
    <row r="57" spans="5:10" x14ac:dyDescent="0.3">
      <c r="E57" s="1"/>
      <c r="F57" s="1"/>
      <c r="G57" s="1"/>
      <c r="I57" s="1"/>
      <c r="J57" s="1"/>
    </row>
    <row r="58" spans="5:10" x14ac:dyDescent="0.3">
      <c r="E58" s="1"/>
      <c r="F58" s="1"/>
      <c r="G58" s="1"/>
      <c r="I58" s="1"/>
      <c r="J58" s="1"/>
    </row>
    <row r="59" spans="5:10" x14ac:dyDescent="0.3">
      <c r="E59" s="1"/>
      <c r="F59" s="1"/>
      <c r="G59" s="1"/>
      <c r="I59" s="1"/>
      <c r="J59" s="1"/>
    </row>
    <row r="60" spans="5:10" x14ac:dyDescent="0.3">
      <c r="E60" s="1"/>
      <c r="F60" s="1"/>
      <c r="G60" s="1"/>
      <c r="I60" s="1"/>
      <c r="J60" s="1"/>
    </row>
    <row r="61" spans="5:10" x14ac:dyDescent="0.3">
      <c r="E61" s="1"/>
      <c r="F61" s="1"/>
      <c r="G61" s="1"/>
      <c r="I61" s="1"/>
      <c r="J61" s="1"/>
    </row>
    <row r="62" spans="5:10" x14ac:dyDescent="0.3">
      <c r="E62" s="1"/>
      <c r="F62" s="1"/>
      <c r="G62" s="1"/>
      <c r="I62" s="1"/>
      <c r="J62" s="1"/>
    </row>
    <row r="63" spans="5:10" x14ac:dyDescent="0.3">
      <c r="E63" s="1"/>
      <c r="F63" s="1"/>
      <c r="G63" s="1"/>
      <c r="I63" s="1"/>
      <c r="J63" s="1"/>
    </row>
    <row r="64" spans="5:10" x14ac:dyDescent="0.3">
      <c r="E64" s="1"/>
      <c r="F64" s="1"/>
      <c r="G64" s="1"/>
      <c r="I64" s="1"/>
      <c r="J64" s="1"/>
    </row>
    <row r="65" spans="3:10" x14ac:dyDescent="0.3">
      <c r="E65" s="1"/>
      <c r="F65" s="1"/>
      <c r="G65" s="1"/>
      <c r="I65" s="1"/>
      <c r="J65" s="1"/>
    </row>
    <row r="66" spans="3:10" x14ac:dyDescent="0.3">
      <c r="E66" s="1"/>
      <c r="F66" s="1"/>
      <c r="G66" s="1"/>
      <c r="I66" s="1"/>
      <c r="J66" s="1"/>
    </row>
    <row r="67" spans="3:10" x14ac:dyDescent="0.3">
      <c r="E67" s="1"/>
      <c r="F67" s="1"/>
      <c r="G67" s="1"/>
      <c r="I67" s="1"/>
      <c r="J67" s="1"/>
    </row>
    <row r="69" spans="3:10" x14ac:dyDescent="0.3">
      <c r="C69" s="2"/>
      <c r="G69" s="1"/>
      <c r="J69" s="2"/>
    </row>
  </sheetData>
  <mergeCells count="3">
    <mergeCell ref="B4:C4"/>
    <mergeCell ref="I4:J4"/>
    <mergeCell ref="E4:G4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7060-0BB3-4F05-9F42-D237F49418FD}">
  <dimension ref="B4:J69"/>
  <sheetViews>
    <sheetView topLeftCell="B1" workbookViewId="0">
      <selection activeCell="E6" sqref="E6:J6"/>
    </sheetView>
  </sheetViews>
  <sheetFormatPr defaultRowHeight="14.4" x14ac:dyDescent="0.3"/>
  <cols>
    <col min="1" max="1" width="2.6640625" customWidth="1"/>
    <col min="2" max="3" width="12.6640625" style="1" customWidth="1"/>
    <col min="4" max="4" width="2.6640625" customWidth="1"/>
    <col min="5" max="7" width="15.6640625" customWidth="1"/>
    <col min="8" max="8" width="2.6640625" customWidth="1"/>
    <col min="9" max="10" width="15.6640625" customWidth="1"/>
    <col min="11" max="11" width="2.6640625" customWidth="1"/>
  </cols>
  <sheetData>
    <row r="4" spans="2:10" x14ac:dyDescent="0.3">
      <c r="B4" s="14" t="s">
        <v>24</v>
      </c>
      <c r="C4" s="14"/>
      <c r="E4" s="14" t="s">
        <v>29</v>
      </c>
      <c r="F4" s="14"/>
      <c r="G4" s="14"/>
      <c r="I4" s="14" t="s">
        <v>28</v>
      </c>
      <c r="J4" s="14"/>
    </row>
    <row r="5" spans="2:10" x14ac:dyDescent="0.3">
      <c r="B5" s="1" t="s">
        <v>10</v>
      </c>
      <c r="C5" s="1" t="s">
        <v>12</v>
      </c>
      <c r="E5" s="1" t="s">
        <v>18</v>
      </c>
      <c r="F5" s="1" t="s">
        <v>19</v>
      </c>
      <c r="G5" s="1" t="s">
        <v>44</v>
      </c>
      <c r="I5" s="1" t="s">
        <v>34</v>
      </c>
      <c r="J5" s="1" t="s">
        <v>45</v>
      </c>
    </row>
    <row r="6" spans="2:10" x14ac:dyDescent="0.3">
      <c r="B6" s="1" t="s">
        <v>11</v>
      </c>
      <c r="C6" s="1" t="s">
        <v>17</v>
      </c>
      <c r="E6" s="1" t="s">
        <v>43</v>
      </c>
      <c r="F6" s="1" t="s">
        <v>43</v>
      </c>
      <c r="G6" s="1" t="s">
        <v>22</v>
      </c>
      <c r="I6" s="1" t="s">
        <v>43</v>
      </c>
      <c r="J6" s="1" t="s">
        <v>43</v>
      </c>
    </row>
    <row r="7" spans="2:10" x14ac:dyDescent="0.3">
      <c r="B7" s="1">
        <v>0</v>
      </c>
      <c r="C7" s="10">
        <v>66.360473632799994</v>
      </c>
      <c r="E7" s="1">
        <f>C7/20</f>
        <v>3.3180236816399997</v>
      </c>
      <c r="F7" s="1">
        <f>10^(E7)</f>
        <v>2079.8100939580854</v>
      </c>
      <c r="G7" s="5">
        <f>20*10^-6*10^(E7)</f>
        <v>4.1596201879161708E-2</v>
      </c>
      <c r="I7" s="1">
        <f>0.1*C7</f>
        <v>6.6360473632799994</v>
      </c>
      <c r="J7" s="1">
        <f>10^I7</f>
        <v>4325610.026929941</v>
      </c>
    </row>
    <row r="8" spans="2:10" x14ac:dyDescent="0.3">
      <c r="B8" s="1">
        <v>1</v>
      </c>
      <c r="C8" s="10">
        <v>66.047668457</v>
      </c>
      <c r="E8" s="1">
        <f t="shared" ref="E8:E36" si="0">C8/20</f>
        <v>3.3023834228500002</v>
      </c>
      <c r="F8" s="1">
        <f t="shared" ref="F8:F37" si="1">10^(E8)</f>
        <v>2006.2424844545944</v>
      </c>
      <c r="G8" s="5">
        <f t="shared" ref="G8:G37" si="2">20*10^-6*10^(E8)</f>
        <v>4.0124849689091885E-2</v>
      </c>
      <c r="I8" s="1">
        <f t="shared" ref="I8:I37" si="3">0.1*C8</f>
        <v>6.6047668457000004</v>
      </c>
      <c r="J8" s="1">
        <f t="shared" ref="J8:J37" si="4">10^I8</f>
        <v>4025008.9064305439</v>
      </c>
    </row>
    <row r="9" spans="2:10" x14ac:dyDescent="0.3">
      <c r="B9" s="1">
        <v>2</v>
      </c>
      <c r="C9" s="10">
        <v>64.292907714799995</v>
      </c>
      <c r="E9" s="1">
        <f t="shared" si="0"/>
        <v>3.2146453857399999</v>
      </c>
      <c r="F9" s="1">
        <f t="shared" si="1"/>
        <v>1639.250729996365</v>
      </c>
      <c r="G9" s="5">
        <f t="shared" si="2"/>
        <v>3.2785014599927297E-2</v>
      </c>
      <c r="I9" s="1">
        <f t="shared" si="3"/>
        <v>6.4292907714799998</v>
      </c>
      <c r="J9" s="1">
        <f t="shared" si="4"/>
        <v>2687142.955793615</v>
      </c>
    </row>
    <row r="10" spans="2:10" x14ac:dyDescent="0.3">
      <c r="B10" s="1">
        <v>3</v>
      </c>
      <c r="C10" s="10">
        <v>63.9724731445</v>
      </c>
      <c r="E10" s="1">
        <f t="shared" si="0"/>
        <v>3.1986236572250002</v>
      </c>
      <c r="F10" s="1">
        <f t="shared" si="1"/>
        <v>1579.8783845020478</v>
      </c>
      <c r="G10" s="5">
        <f t="shared" si="2"/>
        <v>3.1597567690040955E-2</v>
      </c>
      <c r="I10" s="1">
        <f t="shared" si="3"/>
        <v>6.3972473144500004</v>
      </c>
      <c r="J10" s="1">
        <f t="shared" si="4"/>
        <v>2496015.7098168004</v>
      </c>
    </row>
    <row r="11" spans="2:10" x14ac:dyDescent="0.3">
      <c r="B11" s="1">
        <v>4</v>
      </c>
      <c r="C11" s="10">
        <v>62.705993652300002</v>
      </c>
      <c r="E11" s="1">
        <f t="shared" si="0"/>
        <v>3.1352996826149999</v>
      </c>
      <c r="F11" s="1">
        <f t="shared" si="1"/>
        <v>1365.5250849358272</v>
      </c>
      <c r="G11" s="5">
        <f t="shared" si="2"/>
        <v>2.731050169871654E-2</v>
      </c>
      <c r="I11" s="1">
        <f t="shared" si="3"/>
        <v>6.2705993652300007</v>
      </c>
      <c r="J11" s="1">
        <f t="shared" si="4"/>
        <v>1864658.7575890012</v>
      </c>
    </row>
    <row r="12" spans="2:10" x14ac:dyDescent="0.3">
      <c r="B12" s="1">
        <v>5</v>
      </c>
      <c r="C12" s="10">
        <v>63.270568847699998</v>
      </c>
      <c r="E12" s="1">
        <f t="shared" si="0"/>
        <v>3.1635284423850001</v>
      </c>
      <c r="F12" s="1">
        <f t="shared" si="1"/>
        <v>1457.2311371468727</v>
      </c>
      <c r="G12" s="5">
        <f t="shared" si="2"/>
        <v>2.9144622742937453E-2</v>
      </c>
      <c r="I12" s="1">
        <f t="shared" si="3"/>
        <v>6.3270568847700002</v>
      </c>
      <c r="J12" s="1">
        <f t="shared" si="4"/>
        <v>2123522.5870703678</v>
      </c>
    </row>
    <row r="13" spans="2:10" x14ac:dyDescent="0.3">
      <c r="B13" s="1">
        <v>6</v>
      </c>
      <c r="C13" s="10">
        <v>67.543029785200005</v>
      </c>
      <c r="E13" s="1">
        <f t="shared" si="0"/>
        <v>3.3771514892600001</v>
      </c>
      <c r="F13" s="1">
        <f t="shared" si="1"/>
        <v>2383.150607628088</v>
      </c>
      <c r="G13" s="5">
        <f t="shared" si="2"/>
        <v>4.7663012152561753E-2</v>
      </c>
      <c r="I13" s="1">
        <f t="shared" si="3"/>
        <v>6.7543029785200011</v>
      </c>
      <c r="J13" s="1">
        <f t="shared" si="4"/>
        <v>5679406.8186381357</v>
      </c>
    </row>
    <row r="14" spans="2:10" x14ac:dyDescent="0.3">
      <c r="B14" s="1">
        <v>7</v>
      </c>
      <c r="C14" s="10">
        <v>65.864562988299994</v>
      </c>
      <c r="E14" s="1">
        <f t="shared" si="0"/>
        <v>3.2932281494149995</v>
      </c>
      <c r="F14" s="1">
        <f t="shared" si="1"/>
        <v>1964.3919666149168</v>
      </c>
      <c r="G14" s="5">
        <f t="shared" si="2"/>
        <v>3.9287839332298333E-2</v>
      </c>
      <c r="I14" s="1">
        <f t="shared" si="3"/>
        <v>6.5864562988299999</v>
      </c>
      <c r="J14" s="1">
        <f t="shared" si="4"/>
        <v>3858835.7985012271</v>
      </c>
    </row>
    <row r="15" spans="2:10" x14ac:dyDescent="0.3">
      <c r="B15" s="1">
        <v>8</v>
      </c>
      <c r="C15" s="10">
        <v>63.96484375</v>
      </c>
      <c r="E15" s="1">
        <f t="shared" si="0"/>
        <v>3.1982421875</v>
      </c>
      <c r="F15" s="1">
        <f t="shared" si="1"/>
        <v>1578.4912815331036</v>
      </c>
      <c r="G15" s="5">
        <f t="shared" si="2"/>
        <v>3.1569825630662067E-2</v>
      </c>
      <c r="I15" s="1">
        <f t="shared" si="3"/>
        <v>6.396484375</v>
      </c>
      <c r="J15" s="1">
        <f t="shared" si="4"/>
        <v>2491634.7258760198</v>
      </c>
    </row>
    <row r="16" spans="2:10" x14ac:dyDescent="0.3">
      <c r="B16" s="1">
        <v>9</v>
      </c>
      <c r="C16" s="10">
        <v>65.490722656200006</v>
      </c>
      <c r="E16" s="1">
        <f t="shared" si="0"/>
        <v>3.2745361328100002</v>
      </c>
      <c r="F16" s="1">
        <f t="shared" si="1"/>
        <v>1881.6382498816679</v>
      </c>
      <c r="G16" s="5">
        <f t="shared" si="2"/>
        <v>3.7632764997633357E-2</v>
      </c>
      <c r="I16" s="1">
        <f t="shared" si="3"/>
        <v>6.5490722656200013</v>
      </c>
      <c r="J16" s="1">
        <f t="shared" si="4"/>
        <v>3540562.5034177522</v>
      </c>
    </row>
    <row r="17" spans="2:10" x14ac:dyDescent="0.3">
      <c r="B17" s="1">
        <v>10</v>
      </c>
      <c r="C17" s="10">
        <v>67.672729492200006</v>
      </c>
      <c r="E17" s="1">
        <f t="shared" si="0"/>
        <v>3.3836364746100003</v>
      </c>
      <c r="F17" s="1">
        <f t="shared" si="1"/>
        <v>2419.0033767761024</v>
      </c>
      <c r="G17" s="5">
        <f t="shared" si="2"/>
        <v>4.8380067535522042E-2</v>
      </c>
      <c r="I17" s="1">
        <f t="shared" si="3"/>
        <v>6.7672729492200006</v>
      </c>
      <c r="J17" s="1">
        <f t="shared" si="4"/>
        <v>5851577.3368541859</v>
      </c>
    </row>
    <row r="18" spans="2:10" x14ac:dyDescent="0.3">
      <c r="B18" s="1">
        <v>11</v>
      </c>
      <c r="C18" s="10">
        <v>72.090148925799994</v>
      </c>
      <c r="E18" s="1">
        <f t="shared" si="0"/>
        <v>3.6045074462899995</v>
      </c>
      <c r="F18" s="1">
        <f t="shared" si="1"/>
        <v>4022.6055298489655</v>
      </c>
      <c r="G18" s="5">
        <f t="shared" si="2"/>
        <v>8.0452110596979307E-2</v>
      </c>
      <c r="I18" s="1">
        <f t="shared" si="3"/>
        <v>7.2090148925799999</v>
      </c>
      <c r="J18" s="1">
        <f t="shared" si="4"/>
        <v>16181355.248771532</v>
      </c>
    </row>
    <row r="19" spans="2:10" x14ac:dyDescent="0.3">
      <c r="B19" s="1">
        <v>12</v>
      </c>
      <c r="C19" s="10">
        <v>67.848205566399997</v>
      </c>
      <c r="E19" s="1">
        <f t="shared" si="0"/>
        <v>3.3924102783199999</v>
      </c>
      <c r="F19" s="1">
        <f t="shared" si="1"/>
        <v>2468.3701071967143</v>
      </c>
      <c r="G19" s="5">
        <f t="shared" si="2"/>
        <v>4.9367402143934286E-2</v>
      </c>
      <c r="I19" s="1">
        <f t="shared" si="3"/>
        <v>6.7848205566399997</v>
      </c>
      <c r="J19" s="1">
        <f t="shared" si="4"/>
        <v>6092850.9861023193</v>
      </c>
    </row>
    <row r="20" spans="2:10" x14ac:dyDescent="0.3">
      <c r="B20" s="1">
        <v>13</v>
      </c>
      <c r="C20" s="10">
        <v>75.286865234399997</v>
      </c>
      <c r="E20" s="1">
        <f t="shared" si="0"/>
        <v>3.7643432617199997</v>
      </c>
      <c r="F20" s="1">
        <f t="shared" si="1"/>
        <v>5812.2362896805316</v>
      </c>
      <c r="G20" s="5">
        <f t="shared" si="2"/>
        <v>0.11624472579361063</v>
      </c>
      <c r="I20" s="1">
        <f t="shared" si="3"/>
        <v>7.5286865234400002</v>
      </c>
      <c r="J20" s="1">
        <f t="shared" si="4"/>
        <v>33782090.687079318</v>
      </c>
    </row>
    <row r="21" spans="2:10" x14ac:dyDescent="0.3">
      <c r="B21" s="1">
        <v>14</v>
      </c>
      <c r="C21" s="10">
        <v>73.265075683600003</v>
      </c>
      <c r="E21" s="1">
        <f t="shared" si="0"/>
        <v>3.6632537841800001</v>
      </c>
      <c r="F21" s="1">
        <f t="shared" si="1"/>
        <v>4605.2560755932172</v>
      </c>
      <c r="G21" s="5">
        <f t="shared" si="2"/>
        <v>9.2105121511864341E-2</v>
      </c>
      <c r="I21" s="1">
        <f t="shared" si="3"/>
        <v>7.3265075683600003</v>
      </c>
      <c r="J21" s="1">
        <f t="shared" si="4"/>
        <v>21208383.521788239</v>
      </c>
    </row>
    <row r="22" spans="2:10" x14ac:dyDescent="0.3">
      <c r="B22" s="1">
        <v>15</v>
      </c>
      <c r="C22" s="10">
        <v>71.372985839799995</v>
      </c>
      <c r="E22" s="1">
        <f t="shared" si="0"/>
        <v>3.5686492919899999</v>
      </c>
      <c r="F22" s="1">
        <f t="shared" si="1"/>
        <v>3703.8150494293468</v>
      </c>
      <c r="G22" s="5">
        <f t="shared" si="2"/>
        <v>7.4076300988586932E-2</v>
      </c>
      <c r="I22" s="1">
        <f t="shared" si="3"/>
        <v>7.1372985839799998</v>
      </c>
      <c r="J22" s="1">
        <f t="shared" si="4"/>
        <v>13718245.920379315</v>
      </c>
    </row>
    <row r="23" spans="2:10" x14ac:dyDescent="0.3">
      <c r="B23" s="1">
        <v>16</v>
      </c>
      <c r="C23" s="10">
        <v>69.8318481445</v>
      </c>
      <c r="E23" s="1">
        <f t="shared" si="0"/>
        <v>3.4915924072250002</v>
      </c>
      <c r="F23" s="1">
        <f t="shared" si="1"/>
        <v>3101.6472728717445</v>
      </c>
      <c r="G23" s="5">
        <f t="shared" si="2"/>
        <v>6.2032945457434881E-2</v>
      </c>
      <c r="I23" s="1">
        <f t="shared" si="3"/>
        <v>6.9831848144500004</v>
      </c>
      <c r="J23" s="1">
        <f t="shared" si="4"/>
        <v>9620215.8053127285</v>
      </c>
    </row>
    <row r="24" spans="2:10" x14ac:dyDescent="0.3">
      <c r="B24" s="1">
        <v>17</v>
      </c>
      <c r="C24" s="10">
        <v>69.747924804700006</v>
      </c>
      <c r="E24" s="1">
        <f t="shared" si="0"/>
        <v>3.4873962402350003</v>
      </c>
      <c r="F24" s="1">
        <f t="shared" si="1"/>
        <v>3071.8233707950644</v>
      </c>
      <c r="G24" s="5">
        <f t="shared" si="2"/>
        <v>6.143646741590128E-2</v>
      </c>
      <c r="I24" s="1">
        <f t="shared" si="3"/>
        <v>6.9747924804700006</v>
      </c>
      <c r="J24" s="1">
        <f t="shared" si="4"/>
        <v>9436098.8213627506</v>
      </c>
    </row>
    <row r="25" spans="2:10" x14ac:dyDescent="0.3">
      <c r="B25" s="1">
        <v>18</v>
      </c>
      <c r="C25" s="10">
        <v>68.344116210899998</v>
      </c>
      <c r="E25" s="1">
        <f t="shared" si="0"/>
        <v>3.4172058105450001</v>
      </c>
      <c r="F25" s="1">
        <f t="shared" si="1"/>
        <v>2613.3995413444391</v>
      </c>
      <c r="G25" s="5">
        <f t="shared" si="2"/>
        <v>5.226799082688878E-2</v>
      </c>
      <c r="I25" s="1">
        <f t="shared" si="3"/>
        <v>6.8344116210900001</v>
      </c>
      <c r="J25" s="1">
        <f t="shared" si="4"/>
        <v>6829857.1626993231</v>
      </c>
    </row>
    <row r="26" spans="2:10" x14ac:dyDescent="0.3">
      <c r="B26" s="1">
        <v>19</v>
      </c>
      <c r="C26" s="10">
        <v>67.985534668</v>
      </c>
      <c r="E26" s="1">
        <f t="shared" si="0"/>
        <v>3.3992767333999998</v>
      </c>
      <c r="F26" s="1">
        <f t="shared" si="1"/>
        <v>2507.7066602471778</v>
      </c>
      <c r="G26" s="5">
        <f t="shared" si="2"/>
        <v>5.0154133204943552E-2</v>
      </c>
      <c r="I26" s="1">
        <f t="shared" si="3"/>
        <v>6.7985534668000005</v>
      </c>
      <c r="J26" s="1">
        <f t="shared" si="4"/>
        <v>6288592.693848066</v>
      </c>
    </row>
    <row r="27" spans="2:10" x14ac:dyDescent="0.3">
      <c r="B27" s="1">
        <v>20</v>
      </c>
      <c r="C27" s="10">
        <v>70.442199707</v>
      </c>
      <c r="E27" s="1">
        <f t="shared" si="0"/>
        <v>3.5221099853500002</v>
      </c>
      <c r="F27" s="1">
        <f t="shared" si="1"/>
        <v>3327.4381020318056</v>
      </c>
      <c r="G27" s="5">
        <f t="shared" si="2"/>
        <v>6.6548762040636103E-2</v>
      </c>
      <c r="I27" s="1">
        <f t="shared" si="3"/>
        <v>7.0442199707000004</v>
      </c>
      <c r="J27" s="1">
        <f t="shared" si="4"/>
        <v>11071844.322853023</v>
      </c>
    </row>
    <row r="28" spans="2:10" x14ac:dyDescent="0.3">
      <c r="B28" s="1">
        <v>21</v>
      </c>
      <c r="C28" s="10">
        <v>70.877075195299994</v>
      </c>
      <c r="E28" s="1">
        <f t="shared" si="0"/>
        <v>3.5438537597649997</v>
      </c>
      <c r="F28" s="1">
        <f t="shared" si="1"/>
        <v>3498.2734962498334</v>
      </c>
      <c r="G28" s="5">
        <f t="shared" si="2"/>
        <v>6.9965469924996665E-2</v>
      </c>
      <c r="I28" s="1">
        <f t="shared" si="3"/>
        <v>7.0877075195299994</v>
      </c>
      <c r="J28" s="1">
        <f t="shared" si="4"/>
        <v>12237917.454564031</v>
      </c>
    </row>
    <row r="29" spans="2:10" x14ac:dyDescent="0.3">
      <c r="B29" s="1">
        <v>22</v>
      </c>
      <c r="C29" s="10">
        <v>71.365356445299994</v>
      </c>
      <c r="E29" s="1">
        <f t="shared" si="0"/>
        <v>3.5682678222649997</v>
      </c>
      <c r="F29" s="1">
        <f t="shared" si="1"/>
        <v>3700.5631707392649</v>
      </c>
      <c r="G29" s="5">
        <f t="shared" si="2"/>
        <v>7.4011263414785297E-2</v>
      </c>
      <c r="I29" s="1">
        <f t="shared" si="3"/>
        <v>7.1365356445299994</v>
      </c>
      <c r="J29" s="1">
        <f t="shared" si="4"/>
        <v>13694167.780631842</v>
      </c>
    </row>
    <row r="30" spans="2:10" x14ac:dyDescent="0.3">
      <c r="B30" s="1">
        <v>23</v>
      </c>
      <c r="C30" s="10">
        <v>68.992614746100003</v>
      </c>
      <c r="E30" s="1">
        <f t="shared" si="0"/>
        <v>3.4496307373050001</v>
      </c>
      <c r="F30" s="1">
        <f t="shared" si="1"/>
        <v>2815.9875949126531</v>
      </c>
      <c r="G30" s="5">
        <f t="shared" si="2"/>
        <v>5.6319751898253056E-2</v>
      </c>
      <c r="I30" s="1">
        <f t="shared" si="3"/>
        <v>6.8992614746100003</v>
      </c>
      <c r="J30" s="1">
        <f t="shared" si="4"/>
        <v>7929786.1347019495</v>
      </c>
    </row>
    <row r="31" spans="2:10" x14ac:dyDescent="0.3">
      <c r="B31" s="1">
        <v>24</v>
      </c>
      <c r="C31" s="10">
        <v>72.463989257799994</v>
      </c>
      <c r="E31" s="1">
        <f t="shared" si="0"/>
        <v>3.6231994628899997</v>
      </c>
      <c r="F31" s="1">
        <f t="shared" si="1"/>
        <v>4199.5181529191532</v>
      </c>
      <c r="G31" s="5">
        <f t="shared" si="2"/>
        <v>8.3990363058383061E-2</v>
      </c>
      <c r="I31" s="1">
        <f t="shared" si="3"/>
        <v>7.2463989257799994</v>
      </c>
      <c r="J31" s="1">
        <f t="shared" si="4"/>
        <v>17635952.716697495</v>
      </c>
    </row>
    <row r="32" spans="2:10" x14ac:dyDescent="0.3">
      <c r="B32" s="1">
        <v>25</v>
      </c>
      <c r="C32" s="10">
        <v>69.511413574200006</v>
      </c>
      <c r="E32" s="1">
        <f t="shared" si="0"/>
        <v>3.4755706787100005</v>
      </c>
      <c r="F32" s="1">
        <f t="shared" si="1"/>
        <v>2989.3080985668712</v>
      </c>
      <c r="G32" s="5">
        <f t="shared" si="2"/>
        <v>5.9786161971337418E-2</v>
      </c>
      <c r="I32" s="1">
        <f t="shared" si="3"/>
        <v>6.9511413574200009</v>
      </c>
      <c r="J32" s="1">
        <f t="shared" si="4"/>
        <v>8935962.9081574827</v>
      </c>
    </row>
    <row r="33" spans="2:10" x14ac:dyDescent="0.3">
      <c r="B33" s="1">
        <v>26</v>
      </c>
      <c r="C33" s="10">
        <v>70.556640625</v>
      </c>
      <c r="E33" s="1">
        <f t="shared" si="0"/>
        <v>3.52783203125</v>
      </c>
      <c r="F33" s="1">
        <f t="shared" si="1"/>
        <v>3371.5688385350163</v>
      </c>
      <c r="G33" s="5">
        <f t="shared" si="2"/>
        <v>6.7431376770700324E-2</v>
      </c>
      <c r="I33" s="1">
        <f t="shared" si="3"/>
        <v>7.0556640625</v>
      </c>
      <c r="J33" s="1">
        <f t="shared" si="4"/>
        <v>11367476.43298036</v>
      </c>
    </row>
    <row r="34" spans="2:10" x14ac:dyDescent="0.3">
      <c r="B34" s="1">
        <v>27</v>
      </c>
      <c r="C34" s="10">
        <v>71.403503418</v>
      </c>
      <c r="E34" s="1">
        <f t="shared" si="0"/>
        <v>3.5701751708999998</v>
      </c>
      <c r="F34" s="1">
        <f t="shared" si="1"/>
        <v>3716.8511653588375</v>
      </c>
      <c r="G34" s="5">
        <f t="shared" si="2"/>
        <v>7.4337023307176744E-2</v>
      </c>
      <c r="I34" s="1">
        <f t="shared" si="3"/>
        <v>7.1403503418000005</v>
      </c>
      <c r="J34" s="1">
        <f t="shared" si="4"/>
        <v>13814982.585429396</v>
      </c>
    </row>
    <row r="35" spans="2:10" x14ac:dyDescent="0.3">
      <c r="B35" s="1">
        <v>28</v>
      </c>
      <c r="C35" s="10">
        <v>71.144104003899997</v>
      </c>
      <c r="E35" s="1">
        <f t="shared" si="0"/>
        <v>3.5572052001949999</v>
      </c>
      <c r="F35" s="1">
        <f t="shared" si="1"/>
        <v>3607.490534083508</v>
      </c>
      <c r="G35" s="5">
        <f t="shared" si="2"/>
        <v>7.214981068167016E-2</v>
      </c>
      <c r="I35" s="1">
        <f t="shared" si="3"/>
        <v>7.1144104003899997</v>
      </c>
      <c r="J35" s="1">
        <f t="shared" si="4"/>
        <v>13013987.953502115</v>
      </c>
    </row>
    <row r="36" spans="2:10" x14ac:dyDescent="0.3">
      <c r="B36" s="1">
        <v>29</v>
      </c>
      <c r="C36" s="10">
        <v>66.833496093799994</v>
      </c>
      <c r="E36" s="1">
        <f t="shared" si="0"/>
        <v>3.3416748046899998</v>
      </c>
      <c r="F36" s="1">
        <f t="shared" si="1"/>
        <v>2196.2147535707231</v>
      </c>
      <c r="G36" s="5">
        <f t="shared" si="2"/>
        <v>4.392429507141446E-2</v>
      </c>
      <c r="I36" s="1">
        <f t="shared" si="3"/>
        <v>6.6833496093799996</v>
      </c>
      <c r="J36" s="1">
        <f t="shared" si="4"/>
        <v>4823359.2438017121</v>
      </c>
    </row>
    <row r="37" spans="2:10" x14ac:dyDescent="0.3">
      <c r="B37" s="1">
        <v>30</v>
      </c>
      <c r="C37" s="10">
        <v>66.825866699200006</v>
      </c>
      <c r="E37" s="1">
        <f>C37/20</f>
        <v>3.3412933349600005</v>
      </c>
      <c r="F37" s="1">
        <f t="shared" si="1"/>
        <v>2194.2865190465291</v>
      </c>
      <c r="G37" s="5">
        <f t="shared" si="2"/>
        <v>4.3885730380930577E-2</v>
      </c>
      <c r="I37" s="1">
        <f t="shared" si="3"/>
        <v>6.6825866699200009</v>
      </c>
      <c r="J37" s="1">
        <f t="shared" si="4"/>
        <v>4814893.3276693346</v>
      </c>
    </row>
    <row r="38" spans="2:10" x14ac:dyDescent="0.3">
      <c r="E38" s="1"/>
      <c r="F38" s="1"/>
      <c r="G38" s="1"/>
      <c r="I38" s="1"/>
      <c r="J38" s="1"/>
    </row>
    <row r="39" spans="2:10" x14ac:dyDescent="0.3">
      <c r="E39" s="1"/>
      <c r="F39" s="3" t="s">
        <v>27</v>
      </c>
      <c r="G39" s="3">
        <f>AVERAGE(G7:G37)</f>
        <v>5.6696112077709089E-2</v>
      </c>
      <c r="I39" s="4" t="s">
        <v>23</v>
      </c>
      <c r="J39" s="11">
        <f>SUM(J7:J37)/31</f>
        <v>9078774.1237177383</v>
      </c>
    </row>
    <row r="40" spans="2:10" x14ac:dyDescent="0.3">
      <c r="E40" s="1"/>
      <c r="F40" s="1"/>
      <c r="G40" s="1"/>
      <c r="I40" s="1"/>
      <c r="J40" s="1"/>
    </row>
    <row r="41" spans="2:10" x14ac:dyDescent="0.3">
      <c r="E41" s="1"/>
      <c r="F41" s="1"/>
      <c r="G41" s="1"/>
      <c r="I41" s="1"/>
      <c r="J41" s="1"/>
    </row>
    <row r="42" spans="2:10" x14ac:dyDescent="0.3">
      <c r="E42" s="1"/>
      <c r="F42" s="1"/>
      <c r="G42" s="1"/>
      <c r="I42" s="1"/>
      <c r="J42" s="1"/>
    </row>
    <row r="43" spans="2:10" x14ac:dyDescent="0.3">
      <c r="E43" s="1"/>
      <c r="F43" s="1"/>
      <c r="G43" s="1"/>
      <c r="I43" s="1"/>
      <c r="J43" s="1"/>
    </row>
    <row r="44" spans="2:10" x14ac:dyDescent="0.3">
      <c r="E44" s="1"/>
      <c r="F44" s="1"/>
      <c r="G44" s="1"/>
      <c r="I44" s="1"/>
      <c r="J44" s="1"/>
    </row>
    <row r="45" spans="2:10" x14ac:dyDescent="0.3">
      <c r="E45" s="1"/>
      <c r="F45" s="1"/>
      <c r="G45" s="1"/>
      <c r="I45" s="1"/>
      <c r="J45" s="1"/>
    </row>
    <row r="46" spans="2:10" x14ac:dyDescent="0.3">
      <c r="E46" s="1"/>
      <c r="F46" s="1"/>
      <c r="G46" s="1"/>
      <c r="I46" s="1"/>
      <c r="J46" s="1"/>
    </row>
    <row r="47" spans="2:10" x14ac:dyDescent="0.3">
      <c r="E47" s="1"/>
      <c r="F47" s="1"/>
      <c r="G47" s="1"/>
      <c r="I47" s="1"/>
      <c r="J47" s="1"/>
    </row>
    <row r="48" spans="2:10" x14ac:dyDescent="0.3">
      <c r="E48" s="1"/>
      <c r="F48" s="1"/>
      <c r="G48" s="1"/>
      <c r="I48" s="1"/>
      <c r="J48" s="1"/>
    </row>
    <row r="49" spans="5:10" x14ac:dyDescent="0.3">
      <c r="E49" s="1"/>
      <c r="F49" s="1"/>
      <c r="G49" s="1"/>
      <c r="I49" s="1"/>
      <c r="J49" s="1"/>
    </row>
    <row r="50" spans="5:10" x14ac:dyDescent="0.3">
      <c r="E50" s="1"/>
      <c r="F50" s="1"/>
      <c r="G50" s="1"/>
      <c r="I50" s="1"/>
      <c r="J50" s="1"/>
    </row>
    <row r="51" spans="5:10" x14ac:dyDescent="0.3">
      <c r="E51" s="1"/>
      <c r="F51" s="1"/>
      <c r="G51" s="1"/>
      <c r="I51" s="1"/>
      <c r="J51" s="1"/>
    </row>
    <row r="52" spans="5:10" x14ac:dyDescent="0.3">
      <c r="E52" s="1"/>
      <c r="F52" s="1"/>
      <c r="G52" s="1"/>
      <c r="I52" s="1"/>
      <c r="J52" s="1"/>
    </row>
    <row r="53" spans="5:10" x14ac:dyDescent="0.3">
      <c r="E53" s="1"/>
      <c r="F53" s="1"/>
      <c r="G53" s="1"/>
      <c r="I53" s="1"/>
      <c r="J53" s="1"/>
    </row>
    <row r="54" spans="5:10" x14ac:dyDescent="0.3">
      <c r="E54" s="1"/>
      <c r="F54" s="1"/>
      <c r="G54" s="1"/>
      <c r="I54" s="1"/>
      <c r="J54" s="1"/>
    </row>
    <row r="55" spans="5:10" x14ac:dyDescent="0.3">
      <c r="E55" s="1"/>
      <c r="F55" s="1"/>
      <c r="G55" s="1"/>
      <c r="I55" s="1"/>
      <c r="J55" s="1"/>
    </row>
    <row r="56" spans="5:10" x14ac:dyDescent="0.3">
      <c r="E56" s="1"/>
      <c r="F56" s="1"/>
      <c r="G56" s="1"/>
      <c r="I56" s="1"/>
      <c r="J56" s="1"/>
    </row>
    <row r="57" spans="5:10" x14ac:dyDescent="0.3">
      <c r="E57" s="1"/>
      <c r="F57" s="1"/>
      <c r="G57" s="1"/>
      <c r="I57" s="1"/>
      <c r="J57" s="1"/>
    </row>
    <row r="58" spans="5:10" x14ac:dyDescent="0.3">
      <c r="E58" s="1"/>
      <c r="F58" s="1"/>
      <c r="G58" s="1"/>
      <c r="I58" s="1"/>
      <c r="J58" s="1"/>
    </row>
    <row r="59" spans="5:10" x14ac:dyDescent="0.3">
      <c r="E59" s="1"/>
      <c r="F59" s="1"/>
      <c r="G59" s="1"/>
      <c r="I59" s="1"/>
      <c r="J59" s="1"/>
    </row>
    <row r="60" spans="5:10" x14ac:dyDescent="0.3">
      <c r="E60" s="1"/>
      <c r="F60" s="1"/>
      <c r="G60" s="1"/>
      <c r="I60" s="1"/>
      <c r="J60" s="1"/>
    </row>
    <row r="61" spans="5:10" x14ac:dyDescent="0.3">
      <c r="E61" s="1"/>
      <c r="F61" s="1"/>
      <c r="G61" s="1"/>
      <c r="I61" s="1"/>
      <c r="J61" s="1"/>
    </row>
    <row r="62" spans="5:10" x14ac:dyDescent="0.3">
      <c r="E62" s="1"/>
      <c r="F62" s="1"/>
      <c r="G62" s="1"/>
      <c r="I62" s="1"/>
      <c r="J62" s="1"/>
    </row>
    <row r="63" spans="5:10" x14ac:dyDescent="0.3">
      <c r="E63" s="1"/>
      <c r="F63" s="1"/>
      <c r="G63" s="1"/>
      <c r="I63" s="1"/>
      <c r="J63" s="1"/>
    </row>
    <row r="64" spans="5:10" x14ac:dyDescent="0.3">
      <c r="E64" s="1"/>
      <c r="F64" s="1"/>
      <c r="G64" s="1"/>
      <c r="I64" s="1"/>
      <c r="J64" s="1"/>
    </row>
    <row r="65" spans="3:10" x14ac:dyDescent="0.3">
      <c r="E65" s="1"/>
      <c r="F65" s="1"/>
      <c r="G65" s="1"/>
      <c r="I65" s="1"/>
      <c r="J65" s="1"/>
    </row>
    <row r="66" spans="3:10" x14ac:dyDescent="0.3">
      <c r="E66" s="1"/>
      <c r="F66" s="1"/>
      <c r="G66" s="1"/>
      <c r="I66" s="1"/>
      <c r="J66" s="1"/>
    </row>
    <row r="67" spans="3:10" x14ac:dyDescent="0.3">
      <c r="E67" s="1"/>
      <c r="F67" s="1"/>
      <c r="G67" s="1"/>
      <c r="I67" s="1"/>
      <c r="J67" s="1"/>
    </row>
    <row r="69" spans="3:10" x14ac:dyDescent="0.3">
      <c r="C69" s="2"/>
      <c r="G69" s="1"/>
      <c r="J69" s="2"/>
    </row>
  </sheetData>
  <mergeCells count="3">
    <mergeCell ref="B4:C4"/>
    <mergeCell ref="E4:G4"/>
    <mergeCell ref="I4:J4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F859-7E97-40FA-9AD8-D572FC88997F}">
  <dimension ref="B4:J69"/>
  <sheetViews>
    <sheetView tabSelected="1" workbookViewId="0">
      <selection activeCell="L14" sqref="L14"/>
    </sheetView>
  </sheetViews>
  <sheetFormatPr defaultRowHeight="14.4" x14ac:dyDescent="0.3"/>
  <cols>
    <col min="1" max="1" width="2.6640625" customWidth="1"/>
    <col min="2" max="3" width="12.6640625" style="1" customWidth="1"/>
    <col min="4" max="4" width="2.6640625" customWidth="1"/>
    <col min="5" max="7" width="15.6640625" customWidth="1"/>
    <col min="8" max="8" width="2.6640625" customWidth="1"/>
    <col min="9" max="10" width="15.6640625" customWidth="1"/>
    <col min="11" max="11" width="2.6640625" customWidth="1"/>
  </cols>
  <sheetData>
    <row r="4" spans="2:10" x14ac:dyDescent="0.3">
      <c r="B4" s="14" t="s">
        <v>24</v>
      </c>
      <c r="C4" s="14"/>
      <c r="E4" s="14" t="s">
        <v>29</v>
      </c>
      <c r="F4" s="14"/>
      <c r="G4" s="14"/>
      <c r="I4" s="14" t="s">
        <v>28</v>
      </c>
      <c r="J4" s="14"/>
    </row>
    <row r="5" spans="2:10" x14ac:dyDescent="0.3">
      <c r="B5" s="1" t="s">
        <v>10</v>
      </c>
      <c r="C5" s="1" t="s">
        <v>12</v>
      </c>
      <c r="E5" s="1" t="s">
        <v>18</v>
      </c>
      <c r="F5" s="1" t="s">
        <v>19</v>
      </c>
      <c r="G5" s="1" t="s">
        <v>44</v>
      </c>
      <c r="I5" s="1" t="s">
        <v>34</v>
      </c>
      <c r="J5" s="1" t="s">
        <v>45</v>
      </c>
    </row>
    <row r="6" spans="2:10" x14ac:dyDescent="0.3">
      <c r="B6" s="1" t="s">
        <v>11</v>
      </c>
      <c r="C6" s="1" t="s">
        <v>17</v>
      </c>
      <c r="E6" s="1" t="s">
        <v>43</v>
      </c>
      <c r="F6" s="1" t="s">
        <v>43</v>
      </c>
      <c r="G6" s="1" t="s">
        <v>22</v>
      </c>
      <c r="I6" s="1" t="s">
        <v>43</v>
      </c>
      <c r="J6" s="1" t="s">
        <v>43</v>
      </c>
    </row>
    <row r="7" spans="2:10" x14ac:dyDescent="0.3">
      <c r="B7" s="1">
        <v>0</v>
      </c>
      <c r="C7" s="10">
        <v>92.567443847700005</v>
      </c>
      <c r="E7" s="1">
        <f>C7/20</f>
        <v>4.6283721923850001</v>
      </c>
      <c r="F7" s="1">
        <f>10^(E7)</f>
        <v>42498.362085870693</v>
      </c>
      <c r="G7" s="5">
        <f>20*10^-6*10^(E7)</f>
        <v>0.84996724171741378</v>
      </c>
      <c r="I7" s="1">
        <f>0.1*C7</f>
        <v>9.2567443847700002</v>
      </c>
      <c r="J7" s="1">
        <f>10^I7</f>
        <v>1806110779.9817715</v>
      </c>
    </row>
    <row r="8" spans="2:10" x14ac:dyDescent="0.3">
      <c r="B8" s="1">
        <v>1</v>
      </c>
      <c r="C8" s="10">
        <v>96.3134765625</v>
      </c>
      <c r="E8" s="1">
        <f t="shared" ref="E8:E37" si="0">C8/20</f>
        <v>4.815673828125</v>
      </c>
      <c r="F8" s="1">
        <f t="shared" ref="F8:F37" si="1">10^(E8)</f>
        <v>65414.470167938161</v>
      </c>
      <c r="G8" s="5">
        <f t="shared" ref="G8:G37" si="2">20*10^-6*10^(E8)</f>
        <v>1.3082894033587631</v>
      </c>
      <c r="I8" s="1">
        <f t="shared" ref="I8:I37" si="3">0.1*C8</f>
        <v>9.63134765625</v>
      </c>
      <c r="J8" s="1">
        <f t="shared" ref="J8:J37" si="4">10^I8</f>
        <v>4279052907.3520718</v>
      </c>
    </row>
    <row r="9" spans="2:10" x14ac:dyDescent="0.3">
      <c r="B9" s="1">
        <v>2</v>
      </c>
      <c r="C9" s="10">
        <v>96.572875976600002</v>
      </c>
      <c r="E9" s="1">
        <f t="shared" si="0"/>
        <v>4.8286437988299999</v>
      </c>
      <c r="F9" s="1">
        <f t="shared" si="1"/>
        <v>67397.501775233657</v>
      </c>
      <c r="G9" s="5">
        <f t="shared" si="2"/>
        <v>1.347950035504673</v>
      </c>
      <c r="I9" s="1">
        <f t="shared" si="3"/>
        <v>9.6572875976600017</v>
      </c>
      <c r="J9" s="1">
        <f t="shared" si="4"/>
        <v>4542423245.5426407</v>
      </c>
    </row>
    <row r="10" spans="2:10" x14ac:dyDescent="0.3">
      <c r="B10" s="1">
        <v>3</v>
      </c>
      <c r="C10" s="10">
        <v>96.710205078100003</v>
      </c>
      <c r="E10" s="1">
        <f t="shared" si="0"/>
        <v>4.8355102539050003</v>
      </c>
      <c r="F10" s="1">
        <f t="shared" si="1"/>
        <v>68471.564937145638</v>
      </c>
      <c r="G10" s="5">
        <f t="shared" si="2"/>
        <v>1.3694312987429127</v>
      </c>
      <c r="I10" s="1">
        <f t="shared" si="3"/>
        <v>9.6710205078100007</v>
      </c>
      <c r="J10" s="1">
        <f t="shared" si="4"/>
        <v>4688355204.9417515</v>
      </c>
    </row>
    <row r="11" spans="2:10" x14ac:dyDescent="0.3">
      <c r="B11" s="1">
        <v>4</v>
      </c>
      <c r="C11" s="10">
        <v>96.893310546899997</v>
      </c>
      <c r="E11" s="1">
        <f t="shared" si="0"/>
        <v>4.8446655273449997</v>
      </c>
      <c r="F11" s="1">
        <f t="shared" si="1"/>
        <v>69930.321896140726</v>
      </c>
      <c r="G11" s="5">
        <f t="shared" si="2"/>
        <v>1.3986064379228145</v>
      </c>
      <c r="I11" s="1">
        <f t="shared" si="3"/>
        <v>9.6893310546900011</v>
      </c>
      <c r="J11" s="1">
        <f t="shared" si="4"/>
        <v>4890249920.4978933</v>
      </c>
    </row>
    <row r="12" spans="2:10" x14ac:dyDescent="0.3">
      <c r="B12" s="1">
        <v>5</v>
      </c>
      <c r="C12" s="10">
        <v>97.114562988299994</v>
      </c>
      <c r="E12" s="1">
        <f t="shared" si="0"/>
        <v>4.8557281494149995</v>
      </c>
      <c r="F12" s="1">
        <f t="shared" si="1"/>
        <v>71734.512199501725</v>
      </c>
      <c r="G12" s="5">
        <f t="shared" si="2"/>
        <v>1.4346902439900344</v>
      </c>
      <c r="I12" s="1">
        <f t="shared" si="3"/>
        <v>9.7114562988300008</v>
      </c>
      <c r="J12" s="1">
        <f t="shared" si="4"/>
        <v>5145840240.5004807</v>
      </c>
    </row>
    <row r="13" spans="2:10" x14ac:dyDescent="0.3">
      <c r="B13" s="1">
        <v>6</v>
      </c>
      <c r="C13" s="10">
        <v>99.395751953100003</v>
      </c>
      <c r="E13" s="1">
        <f t="shared" si="0"/>
        <v>4.9697875976550003</v>
      </c>
      <c r="F13" s="1">
        <f t="shared" si="1"/>
        <v>93279.798153750875</v>
      </c>
      <c r="G13" s="5">
        <f t="shared" si="2"/>
        <v>1.8655959630750174</v>
      </c>
      <c r="I13" s="1">
        <f t="shared" si="3"/>
        <v>9.9395751953100007</v>
      </c>
      <c r="J13" s="1">
        <f t="shared" si="4"/>
        <v>8701120743.6045055</v>
      </c>
    </row>
    <row r="14" spans="2:10" x14ac:dyDescent="0.3">
      <c r="B14" s="1">
        <v>7</v>
      </c>
      <c r="C14" s="10">
        <v>95.802307128899997</v>
      </c>
      <c r="E14" s="1">
        <f t="shared" si="0"/>
        <v>4.7901153564449999</v>
      </c>
      <c r="F14" s="1">
        <f t="shared" si="1"/>
        <v>61675.880236479912</v>
      </c>
      <c r="G14" s="5">
        <f t="shared" si="2"/>
        <v>1.2335176047295981</v>
      </c>
      <c r="I14" s="1">
        <f t="shared" si="3"/>
        <v>9.5802307128899997</v>
      </c>
      <c r="J14" s="1">
        <f t="shared" si="4"/>
        <v>3803914202.9446135</v>
      </c>
    </row>
    <row r="15" spans="2:10" x14ac:dyDescent="0.3">
      <c r="B15" s="1">
        <v>8</v>
      </c>
      <c r="C15" s="10">
        <v>95.512390136700006</v>
      </c>
      <c r="E15" s="1">
        <f t="shared" si="0"/>
        <v>4.7756195068350005</v>
      </c>
      <c r="F15" s="1">
        <f t="shared" si="1"/>
        <v>59651.244235850463</v>
      </c>
      <c r="G15" s="5">
        <f t="shared" si="2"/>
        <v>1.1930248847170091</v>
      </c>
      <c r="I15" s="1">
        <f t="shared" si="3"/>
        <v>9.5512390136700009</v>
      </c>
      <c r="J15" s="1">
        <f t="shared" si="4"/>
        <v>3558270938.8850827</v>
      </c>
    </row>
    <row r="16" spans="2:10" x14ac:dyDescent="0.3">
      <c r="B16" s="1">
        <v>9</v>
      </c>
      <c r="C16" s="10">
        <v>96.725463867200006</v>
      </c>
      <c r="E16" s="1">
        <f t="shared" si="0"/>
        <v>4.8362731933600003</v>
      </c>
      <c r="F16" s="1">
        <f t="shared" si="1"/>
        <v>68591.956913241505</v>
      </c>
      <c r="G16" s="5">
        <f t="shared" si="2"/>
        <v>1.3718391382648301</v>
      </c>
      <c r="I16" s="1">
        <f t="shared" si="3"/>
        <v>9.6725463867200006</v>
      </c>
      <c r="J16" s="1">
        <f t="shared" si="4"/>
        <v>4704856553.1879787</v>
      </c>
    </row>
    <row r="17" spans="2:10" x14ac:dyDescent="0.3">
      <c r="B17" s="1">
        <v>10</v>
      </c>
      <c r="C17" s="10">
        <v>95.832824707</v>
      </c>
      <c r="E17" s="1">
        <f t="shared" si="0"/>
        <v>4.7916412353500002</v>
      </c>
      <c r="F17" s="1">
        <f t="shared" si="1"/>
        <v>61892.957469399757</v>
      </c>
      <c r="G17" s="5">
        <f t="shared" si="2"/>
        <v>1.2378591493879951</v>
      </c>
      <c r="I17" s="1">
        <f t="shared" si="3"/>
        <v>9.5832824707000004</v>
      </c>
      <c r="J17" s="1">
        <f t="shared" si="4"/>
        <v>3830738184.3089266</v>
      </c>
    </row>
    <row r="18" spans="2:10" x14ac:dyDescent="0.3">
      <c r="B18" s="1">
        <v>11</v>
      </c>
      <c r="C18" s="10">
        <v>95.932006835899998</v>
      </c>
      <c r="E18" s="1">
        <f t="shared" si="0"/>
        <v>4.7966003417950001</v>
      </c>
      <c r="F18" s="1">
        <f t="shared" si="1"/>
        <v>62603.74903715121</v>
      </c>
      <c r="G18" s="5">
        <f t="shared" si="2"/>
        <v>1.252074980743024</v>
      </c>
      <c r="I18" s="1">
        <f t="shared" si="3"/>
        <v>9.5932006835900001</v>
      </c>
      <c r="J18" s="1">
        <f t="shared" si="4"/>
        <v>3919229393.5066113</v>
      </c>
    </row>
    <row r="19" spans="2:10" x14ac:dyDescent="0.3">
      <c r="B19" s="1">
        <v>12</v>
      </c>
      <c r="C19" s="10">
        <v>95.970153808600003</v>
      </c>
      <c r="E19" s="1">
        <f t="shared" si="0"/>
        <v>4.7985076904300001</v>
      </c>
      <c r="F19" s="1">
        <f t="shared" si="1"/>
        <v>62879.298860363248</v>
      </c>
      <c r="G19" s="5">
        <f t="shared" si="2"/>
        <v>1.2575859772072648</v>
      </c>
      <c r="I19" s="1">
        <f t="shared" si="3"/>
        <v>9.5970153808600003</v>
      </c>
      <c r="J19" s="1">
        <f t="shared" si="4"/>
        <v>3953806225.1708789</v>
      </c>
    </row>
    <row r="20" spans="2:10" x14ac:dyDescent="0.3">
      <c r="B20" s="1">
        <v>13</v>
      </c>
      <c r="C20" s="10">
        <v>96.954345703100003</v>
      </c>
      <c r="E20" s="1">
        <f t="shared" si="0"/>
        <v>4.8477172851550003</v>
      </c>
      <c r="F20" s="1">
        <f t="shared" si="1"/>
        <v>70423.448068621394</v>
      </c>
      <c r="G20" s="5">
        <f t="shared" si="2"/>
        <v>1.4084689613724277</v>
      </c>
      <c r="I20" s="1">
        <f t="shared" si="3"/>
        <v>9.6954345703100007</v>
      </c>
      <c r="J20" s="1">
        <f t="shared" si="4"/>
        <v>4959462037.8738155</v>
      </c>
    </row>
    <row r="21" spans="2:10" x14ac:dyDescent="0.3">
      <c r="B21" s="1">
        <v>14</v>
      </c>
      <c r="C21" s="10">
        <v>96.694946289100002</v>
      </c>
      <c r="E21" s="1">
        <f t="shared" si="0"/>
        <v>4.8347473144549999</v>
      </c>
      <c r="F21" s="1">
        <f t="shared" si="1"/>
        <v>68351.384272733048</v>
      </c>
      <c r="G21" s="5">
        <f t="shared" si="2"/>
        <v>1.3670276854546608</v>
      </c>
      <c r="I21" s="1">
        <f t="shared" si="3"/>
        <v>9.6694946289100017</v>
      </c>
      <c r="J21" s="1">
        <f t="shared" si="4"/>
        <v>4671911731.9988527</v>
      </c>
    </row>
    <row r="22" spans="2:10" x14ac:dyDescent="0.3">
      <c r="B22" s="1">
        <v>15</v>
      </c>
      <c r="C22" s="10">
        <v>96.565246582</v>
      </c>
      <c r="E22" s="1">
        <f t="shared" si="0"/>
        <v>4.8282623291000002</v>
      </c>
      <c r="F22" s="1">
        <f t="shared" si="1"/>
        <v>67338.328058475658</v>
      </c>
      <c r="G22" s="5">
        <f t="shared" si="2"/>
        <v>1.346766561169513</v>
      </c>
      <c r="I22" s="1">
        <f t="shared" si="3"/>
        <v>9.6565246582000004</v>
      </c>
      <c r="J22" s="1">
        <f t="shared" si="4"/>
        <v>4534450425.7108898</v>
      </c>
    </row>
    <row r="23" spans="2:10" x14ac:dyDescent="0.3">
      <c r="B23" s="1">
        <v>16</v>
      </c>
      <c r="C23" s="10">
        <v>95.344543457</v>
      </c>
      <c r="E23" s="1">
        <f t="shared" si="0"/>
        <v>4.7672271728500002</v>
      </c>
      <c r="F23" s="1">
        <f t="shared" si="1"/>
        <v>58509.605897759939</v>
      </c>
      <c r="G23" s="5">
        <f t="shared" si="2"/>
        <v>1.1701921179551986</v>
      </c>
      <c r="I23" s="1">
        <f t="shared" si="3"/>
        <v>9.5344543457000004</v>
      </c>
      <c r="J23" s="1">
        <f t="shared" si="4"/>
        <v>3423373982.3111844</v>
      </c>
    </row>
    <row r="24" spans="2:10" x14ac:dyDescent="0.3">
      <c r="B24" s="1">
        <v>17</v>
      </c>
      <c r="C24" s="10">
        <v>95.298767089799995</v>
      </c>
      <c r="E24" s="1">
        <f t="shared" si="0"/>
        <v>4.7649383544899999</v>
      </c>
      <c r="F24" s="1">
        <f t="shared" si="1"/>
        <v>58202.059755674476</v>
      </c>
      <c r="G24" s="5">
        <f t="shared" si="2"/>
        <v>1.1640411951134895</v>
      </c>
      <c r="I24" s="1">
        <f t="shared" si="3"/>
        <v>9.5298767089799998</v>
      </c>
      <c r="J24" s="1">
        <f t="shared" si="4"/>
        <v>3387479759.8031025</v>
      </c>
    </row>
    <row r="25" spans="2:10" x14ac:dyDescent="0.3">
      <c r="B25" s="1">
        <v>18</v>
      </c>
      <c r="C25" s="10">
        <v>95.344543457</v>
      </c>
      <c r="E25" s="1">
        <f t="shared" si="0"/>
        <v>4.7672271728500002</v>
      </c>
      <c r="F25" s="1">
        <f t="shared" si="1"/>
        <v>58509.605897759939</v>
      </c>
      <c r="G25" s="5">
        <f t="shared" si="2"/>
        <v>1.1701921179551986</v>
      </c>
      <c r="I25" s="1">
        <f t="shared" si="3"/>
        <v>9.5344543457000004</v>
      </c>
      <c r="J25" s="1">
        <f t="shared" si="4"/>
        <v>3423373982.3111844</v>
      </c>
    </row>
    <row r="26" spans="2:10" x14ac:dyDescent="0.3">
      <c r="B26" s="1">
        <v>19</v>
      </c>
      <c r="C26" s="10">
        <v>95.855712890600003</v>
      </c>
      <c r="E26" s="1">
        <f t="shared" si="0"/>
        <v>4.7927856445300003</v>
      </c>
      <c r="F26" s="1">
        <f t="shared" si="1"/>
        <v>62056.266645271629</v>
      </c>
      <c r="G26" s="5">
        <f t="shared" si="2"/>
        <v>1.2411253329054326</v>
      </c>
      <c r="I26" s="1">
        <f t="shared" si="3"/>
        <v>9.5855712890600007</v>
      </c>
      <c r="J26" s="1">
        <f t="shared" si="4"/>
        <v>3850980229.9490523</v>
      </c>
    </row>
    <row r="27" spans="2:10" x14ac:dyDescent="0.3">
      <c r="B27" s="1">
        <v>20</v>
      </c>
      <c r="C27" s="10">
        <v>95.5810546875</v>
      </c>
      <c r="E27" s="1">
        <f t="shared" si="0"/>
        <v>4.779052734375</v>
      </c>
      <c r="F27" s="1">
        <f t="shared" si="1"/>
        <v>60124.673966833252</v>
      </c>
      <c r="G27" s="5">
        <f t="shared" si="2"/>
        <v>1.2024934793366648</v>
      </c>
      <c r="I27" s="1">
        <f t="shared" si="3"/>
        <v>9.55810546875</v>
      </c>
      <c r="J27" s="1">
        <f t="shared" si="4"/>
        <v>3614976419.6179967</v>
      </c>
    </row>
    <row r="28" spans="2:10" x14ac:dyDescent="0.3">
      <c r="B28" s="1">
        <v>21</v>
      </c>
      <c r="C28" s="10">
        <v>95.2224731445</v>
      </c>
      <c r="E28" s="1">
        <f t="shared" si="0"/>
        <v>4.7611236572250002</v>
      </c>
      <c r="F28" s="1">
        <f t="shared" si="1"/>
        <v>57693.071022931879</v>
      </c>
      <c r="G28" s="5">
        <f t="shared" si="2"/>
        <v>1.1538614204586375</v>
      </c>
      <c r="I28" s="1">
        <f t="shared" si="3"/>
        <v>9.5222473144500004</v>
      </c>
      <c r="J28" s="1">
        <f t="shared" si="4"/>
        <v>3328490444.0570621</v>
      </c>
    </row>
    <row r="29" spans="2:10" x14ac:dyDescent="0.3">
      <c r="B29" s="1">
        <v>22</v>
      </c>
      <c r="C29" s="10">
        <v>93.841552734399997</v>
      </c>
      <c r="E29" s="1">
        <f t="shared" si="0"/>
        <v>4.6920776367199997</v>
      </c>
      <c r="F29" s="1">
        <f t="shared" si="1"/>
        <v>49212.750306740832</v>
      </c>
      <c r="G29" s="5">
        <f t="shared" si="2"/>
        <v>0.98425500613481653</v>
      </c>
      <c r="I29" s="1">
        <f t="shared" si="3"/>
        <v>9.3841552734399993</v>
      </c>
      <c r="J29" s="1">
        <f t="shared" si="4"/>
        <v>2421894792.7536201</v>
      </c>
    </row>
    <row r="30" spans="2:10" x14ac:dyDescent="0.3">
      <c r="B30" s="1">
        <v>23</v>
      </c>
      <c r="C30" s="10">
        <v>94.558715820299994</v>
      </c>
      <c r="E30" s="1">
        <f t="shared" si="0"/>
        <v>4.7279357910149997</v>
      </c>
      <c r="F30" s="1">
        <f t="shared" si="1"/>
        <v>53448.533168845337</v>
      </c>
      <c r="G30" s="5">
        <f t="shared" si="2"/>
        <v>1.0689706633769067</v>
      </c>
      <c r="I30" s="1">
        <f t="shared" si="3"/>
        <v>9.4558715820299994</v>
      </c>
      <c r="J30" s="1">
        <f t="shared" si="4"/>
        <v>2856745697.9011602</v>
      </c>
    </row>
    <row r="31" spans="2:10" x14ac:dyDescent="0.3">
      <c r="B31" s="1">
        <v>24</v>
      </c>
      <c r="C31" s="10">
        <v>93.597412109399997</v>
      </c>
      <c r="E31" s="1">
        <f t="shared" si="0"/>
        <v>4.6798706054699997</v>
      </c>
      <c r="F31" s="1">
        <f t="shared" si="1"/>
        <v>47848.750959766759</v>
      </c>
      <c r="G31" s="5">
        <f t="shared" si="2"/>
        <v>0.95697501919533512</v>
      </c>
      <c r="I31" s="1">
        <f t="shared" si="3"/>
        <v>9.3597412109399993</v>
      </c>
      <c r="J31" s="1">
        <f t="shared" si="4"/>
        <v>2289502968.4097805</v>
      </c>
    </row>
    <row r="32" spans="2:10" x14ac:dyDescent="0.3">
      <c r="B32" s="1">
        <v>25</v>
      </c>
      <c r="C32" s="10">
        <v>93.231201171899997</v>
      </c>
      <c r="E32" s="1">
        <f t="shared" si="0"/>
        <v>4.6615600585949997</v>
      </c>
      <c r="F32" s="1">
        <f t="shared" si="1"/>
        <v>45873.307962127052</v>
      </c>
      <c r="G32" s="5">
        <f t="shared" si="2"/>
        <v>0.91746615924254094</v>
      </c>
      <c r="I32" s="1">
        <f t="shared" si="3"/>
        <v>9.3231201171899993</v>
      </c>
      <c r="J32" s="1">
        <f t="shared" si="4"/>
        <v>2104360383.388149</v>
      </c>
    </row>
    <row r="33" spans="2:10" x14ac:dyDescent="0.3">
      <c r="B33" s="1">
        <v>26</v>
      </c>
      <c r="C33" s="10">
        <v>93.864440918</v>
      </c>
      <c r="E33" s="1">
        <f t="shared" si="0"/>
        <v>4.6932220458999998</v>
      </c>
      <c r="F33" s="1">
        <f t="shared" si="1"/>
        <v>49342.601812042638</v>
      </c>
      <c r="G33" s="5">
        <f t="shared" si="2"/>
        <v>0.98685203624085271</v>
      </c>
      <c r="I33" s="1">
        <f t="shared" si="3"/>
        <v>9.3864440917999996</v>
      </c>
      <c r="J33" s="1">
        <f t="shared" si="4"/>
        <v>2434692353.5817938</v>
      </c>
    </row>
    <row r="34" spans="2:10" x14ac:dyDescent="0.3">
      <c r="B34" s="1">
        <v>27</v>
      </c>
      <c r="C34" s="10">
        <v>93.879699707</v>
      </c>
      <c r="E34" s="1">
        <f t="shared" si="0"/>
        <v>4.6939849853500002</v>
      </c>
      <c r="F34" s="1">
        <f t="shared" si="1"/>
        <v>49429.359772144067</v>
      </c>
      <c r="G34" s="5">
        <f t="shared" si="2"/>
        <v>0.98858719544288121</v>
      </c>
      <c r="I34" s="1">
        <f t="shared" si="3"/>
        <v>9.3879699707000004</v>
      </c>
      <c r="J34" s="1">
        <f t="shared" si="4"/>
        <v>2443261607.4840541</v>
      </c>
    </row>
    <row r="35" spans="2:10" x14ac:dyDescent="0.3">
      <c r="B35" s="1">
        <v>28</v>
      </c>
      <c r="C35" s="10">
        <v>93.605041503899997</v>
      </c>
      <c r="E35" s="1">
        <f t="shared" si="0"/>
        <v>4.6802520751949999</v>
      </c>
      <c r="F35" s="1">
        <f t="shared" si="1"/>
        <v>47890.798163506835</v>
      </c>
      <c r="G35" s="5">
        <f t="shared" si="2"/>
        <v>0.95781596327013663</v>
      </c>
      <c r="I35" s="1">
        <f t="shared" si="3"/>
        <v>9.3605041503899997</v>
      </c>
      <c r="J35" s="1">
        <f t="shared" si="4"/>
        <v>2293528548.7377501</v>
      </c>
    </row>
    <row r="36" spans="2:10" x14ac:dyDescent="0.3">
      <c r="B36" s="1">
        <v>29</v>
      </c>
      <c r="C36" s="10">
        <v>95.2224731445</v>
      </c>
      <c r="E36" s="1">
        <f t="shared" si="0"/>
        <v>4.7611236572250002</v>
      </c>
      <c r="F36" s="1">
        <f t="shared" si="1"/>
        <v>57693.071022931879</v>
      </c>
      <c r="G36" s="5">
        <f t="shared" si="2"/>
        <v>1.1538614204586375</v>
      </c>
      <c r="I36" s="1">
        <f t="shared" si="3"/>
        <v>9.5222473144500004</v>
      </c>
      <c r="J36" s="1">
        <f t="shared" si="4"/>
        <v>3328490444.0570621</v>
      </c>
    </row>
    <row r="37" spans="2:10" x14ac:dyDescent="0.3">
      <c r="B37" s="1">
        <v>30</v>
      </c>
      <c r="C37" s="10">
        <v>95.413208007799994</v>
      </c>
      <c r="E37" s="1">
        <f t="shared" si="0"/>
        <v>4.7706604003899997</v>
      </c>
      <c r="F37" s="1">
        <f t="shared" si="1"/>
        <v>58973.974870024293</v>
      </c>
      <c r="G37" s="5">
        <f t="shared" si="2"/>
        <v>1.1794794974004859</v>
      </c>
      <c r="I37" s="1">
        <f t="shared" si="3"/>
        <v>9.5413208007799994</v>
      </c>
      <c r="J37" s="1">
        <f t="shared" si="4"/>
        <v>3477929711.9702568</v>
      </c>
    </row>
    <row r="38" spans="2:10" x14ac:dyDescent="0.3">
      <c r="E38" s="1"/>
      <c r="F38" s="1"/>
      <c r="G38" s="1"/>
      <c r="I38" s="1"/>
      <c r="J38" s="1"/>
    </row>
    <row r="39" spans="2:10" x14ac:dyDescent="0.3">
      <c r="E39" s="1"/>
      <c r="F39" s="3" t="s">
        <v>27</v>
      </c>
      <c r="G39" s="3">
        <f>AVERAGE(G7:G37)</f>
        <v>1.2109311029627474</v>
      </c>
      <c r="I39" s="4" t="s">
        <v>23</v>
      </c>
      <c r="J39" s="11">
        <f>SUM(J7:J37)/31</f>
        <v>3763512066.5271606</v>
      </c>
    </row>
    <row r="40" spans="2:10" x14ac:dyDescent="0.3">
      <c r="E40" s="1"/>
      <c r="F40" s="1"/>
      <c r="G40" s="1"/>
      <c r="I40" s="1"/>
      <c r="J40" s="1"/>
    </row>
    <row r="41" spans="2:10" x14ac:dyDescent="0.3">
      <c r="E41" s="1"/>
      <c r="F41" s="1"/>
      <c r="G41" s="1"/>
      <c r="I41" s="1"/>
      <c r="J41" s="1"/>
    </row>
    <row r="42" spans="2:10" x14ac:dyDescent="0.3">
      <c r="E42" s="1"/>
      <c r="F42" s="1"/>
      <c r="G42" s="1"/>
      <c r="I42" s="1"/>
      <c r="J42" s="1"/>
    </row>
    <row r="43" spans="2:10" x14ac:dyDescent="0.3">
      <c r="E43" s="1"/>
      <c r="F43" s="1"/>
      <c r="G43" s="1"/>
      <c r="I43" s="1"/>
      <c r="J43" s="1"/>
    </row>
    <row r="44" spans="2:10" x14ac:dyDescent="0.3">
      <c r="E44" s="1"/>
      <c r="F44" s="1"/>
      <c r="G44" s="1"/>
      <c r="I44" s="1"/>
      <c r="J44" s="1"/>
    </row>
    <row r="45" spans="2:10" x14ac:dyDescent="0.3">
      <c r="E45" s="1"/>
      <c r="F45" s="1"/>
      <c r="G45" s="1"/>
      <c r="I45" s="1"/>
      <c r="J45" s="1"/>
    </row>
    <row r="46" spans="2:10" x14ac:dyDescent="0.3">
      <c r="E46" s="1"/>
      <c r="F46" s="1"/>
      <c r="G46" s="1"/>
      <c r="I46" s="1"/>
      <c r="J46" s="1"/>
    </row>
    <row r="47" spans="2:10" x14ac:dyDescent="0.3">
      <c r="E47" s="1"/>
      <c r="F47" s="1"/>
      <c r="G47" s="1"/>
      <c r="I47" s="1"/>
      <c r="J47" s="1"/>
    </row>
    <row r="48" spans="2:10" x14ac:dyDescent="0.3">
      <c r="E48" s="1"/>
      <c r="F48" s="1"/>
      <c r="G48" s="1"/>
      <c r="I48" s="1"/>
      <c r="J48" s="1"/>
    </row>
    <row r="49" spans="5:10" x14ac:dyDescent="0.3">
      <c r="E49" s="1"/>
      <c r="F49" s="1"/>
      <c r="G49" s="1"/>
      <c r="I49" s="1"/>
      <c r="J49" s="1"/>
    </row>
    <row r="50" spans="5:10" x14ac:dyDescent="0.3">
      <c r="E50" s="1"/>
      <c r="F50" s="1"/>
      <c r="G50" s="1"/>
      <c r="I50" s="1"/>
      <c r="J50" s="1"/>
    </row>
    <row r="51" spans="5:10" x14ac:dyDescent="0.3">
      <c r="E51" s="1"/>
      <c r="F51" s="1"/>
      <c r="G51" s="1"/>
      <c r="I51" s="1"/>
      <c r="J51" s="1"/>
    </row>
    <row r="52" spans="5:10" x14ac:dyDescent="0.3">
      <c r="E52" s="1"/>
      <c r="F52" s="1"/>
      <c r="G52" s="1"/>
      <c r="I52" s="1"/>
      <c r="J52" s="1"/>
    </row>
    <row r="53" spans="5:10" x14ac:dyDescent="0.3">
      <c r="E53" s="1"/>
      <c r="F53" s="1"/>
      <c r="G53" s="1"/>
      <c r="I53" s="1"/>
      <c r="J53" s="1"/>
    </row>
    <row r="54" spans="5:10" x14ac:dyDescent="0.3">
      <c r="E54" s="1"/>
      <c r="F54" s="1"/>
      <c r="G54" s="1"/>
      <c r="I54" s="1"/>
      <c r="J54" s="1"/>
    </row>
    <row r="55" spans="5:10" x14ac:dyDescent="0.3">
      <c r="E55" s="1"/>
      <c r="F55" s="1"/>
      <c r="G55" s="1"/>
      <c r="I55" s="1"/>
      <c r="J55" s="1"/>
    </row>
    <row r="56" spans="5:10" x14ac:dyDescent="0.3">
      <c r="E56" s="1"/>
      <c r="F56" s="1"/>
      <c r="G56" s="1"/>
      <c r="I56" s="1"/>
      <c r="J56" s="1"/>
    </row>
    <row r="57" spans="5:10" x14ac:dyDescent="0.3">
      <c r="E57" s="1"/>
      <c r="F57" s="1"/>
      <c r="G57" s="1"/>
      <c r="I57" s="1"/>
      <c r="J57" s="1"/>
    </row>
    <row r="58" spans="5:10" x14ac:dyDescent="0.3">
      <c r="E58" s="1"/>
      <c r="F58" s="1"/>
      <c r="G58" s="1"/>
      <c r="I58" s="1"/>
      <c r="J58" s="1"/>
    </row>
    <row r="59" spans="5:10" x14ac:dyDescent="0.3">
      <c r="E59" s="1"/>
      <c r="F59" s="1"/>
      <c r="G59" s="1"/>
      <c r="I59" s="1"/>
      <c r="J59" s="1"/>
    </row>
    <row r="60" spans="5:10" x14ac:dyDescent="0.3">
      <c r="E60" s="1"/>
      <c r="F60" s="1"/>
      <c r="G60" s="1"/>
      <c r="I60" s="1"/>
      <c r="J60" s="1"/>
    </row>
    <row r="61" spans="5:10" x14ac:dyDescent="0.3">
      <c r="E61" s="1"/>
      <c r="F61" s="1"/>
      <c r="G61" s="1"/>
      <c r="I61" s="1"/>
      <c r="J61" s="1"/>
    </row>
    <row r="62" spans="5:10" x14ac:dyDescent="0.3">
      <c r="E62" s="1"/>
      <c r="F62" s="1"/>
      <c r="G62" s="1"/>
      <c r="I62" s="1"/>
      <c r="J62" s="1"/>
    </row>
    <row r="63" spans="5:10" x14ac:dyDescent="0.3">
      <c r="E63" s="1"/>
      <c r="F63" s="1"/>
      <c r="G63" s="1"/>
      <c r="I63" s="1"/>
      <c r="J63" s="1"/>
    </row>
    <row r="64" spans="5:10" x14ac:dyDescent="0.3">
      <c r="E64" s="1"/>
      <c r="F64" s="1"/>
      <c r="G64" s="1"/>
      <c r="I64" s="1"/>
      <c r="J64" s="1"/>
    </row>
    <row r="65" spans="3:10" x14ac:dyDescent="0.3">
      <c r="E65" s="1"/>
      <c r="F65" s="1"/>
      <c r="G65" s="1"/>
      <c r="I65" s="1"/>
      <c r="J65" s="1"/>
    </row>
    <row r="66" spans="3:10" x14ac:dyDescent="0.3">
      <c r="E66" s="1"/>
      <c r="F66" s="1"/>
      <c r="G66" s="1"/>
      <c r="I66" s="1"/>
      <c r="J66" s="1"/>
    </row>
    <row r="67" spans="3:10" x14ac:dyDescent="0.3">
      <c r="E67" s="1"/>
      <c r="F67" s="1"/>
      <c r="G67" s="1"/>
      <c r="I67" s="1"/>
      <c r="J67" s="1"/>
    </row>
    <row r="69" spans="3:10" x14ac:dyDescent="0.3">
      <c r="C69" s="2"/>
      <c r="G69" s="1"/>
      <c r="J69" s="2"/>
    </row>
  </sheetData>
  <mergeCells count="3">
    <mergeCell ref="B4:C4"/>
    <mergeCell ref="E4:G4"/>
    <mergeCell ref="I4:J4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2476-8D18-4024-9045-9FBCFF9269C5}">
  <dimension ref="B2:O100"/>
  <sheetViews>
    <sheetView topLeftCell="B1" zoomScale="79" zoomScaleNormal="93" workbookViewId="0">
      <selection activeCell="Q77" sqref="Q77"/>
    </sheetView>
  </sheetViews>
  <sheetFormatPr defaultRowHeight="14.4" x14ac:dyDescent="0.3"/>
  <cols>
    <col min="1" max="1" width="2.6640625" customWidth="1"/>
    <col min="2" max="2" width="90.6640625" customWidth="1"/>
    <col min="3" max="3" width="2.6640625" customWidth="1"/>
    <col min="4" max="15" width="9.6640625" customWidth="1"/>
    <col min="16" max="16" width="2.6640625" customWidth="1"/>
  </cols>
  <sheetData>
    <row r="2" spans="2:15" x14ac:dyDescent="0.3">
      <c r="B2" s="1" t="s">
        <v>26</v>
      </c>
      <c r="D2" t="s">
        <v>33</v>
      </c>
    </row>
    <row r="3" spans="2:15" x14ac:dyDescent="0.3">
      <c r="B3" t="s">
        <v>46</v>
      </c>
    </row>
    <row r="4" spans="2:15" x14ac:dyDescent="0.3">
      <c r="B4" t="s">
        <v>48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3">
      <c r="B5" t="s">
        <v>49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2:15" x14ac:dyDescent="0.3">
      <c r="B6" t="s">
        <v>47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3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x14ac:dyDescent="0.3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2:15" x14ac:dyDescent="0.3"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2:15" x14ac:dyDescent="0.3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2:15" x14ac:dyDescent="0.3"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2:15" x14ac:dyDescent="0.3"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2:15" x14ac:dyDescent="0.3"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2:15" x14ac:dyDescent="0.3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2:15" x14ac:dyDescent="0.3"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2:15" x14ac:dyDescent="0.3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4:15" x14ac:dyDescent="0.3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4:15" x14ac:dyDescent="0.3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4:15" x14ac:dyDescent="0.3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4:15" x14ac:dyDescent="0.3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4:15" x14ac:dyDescent="0.3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4:15" x14ac:dyDescent="0.3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4:15" x14ac:dyDescent="0.3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4:15" x14ac:dyDescent="0.3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4:15" x14ac:dyDescent="0.3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7" spans="4:15" x14ac:dyDescent="0.3">
      <c r="D27" t="s">
        <v>32</v>
      </c>
    </row>
    <row r="29" spans="4:15" x14ac:dyDescent="0.3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4:15" x14ac:dyDescent="0.3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4:15" x14ac:dyDescent="0.3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4:15" x14ac:dyDescent="0.3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4:15" x14ac:dyDescent="0.3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4:15" x14ac:dyDescent="0.3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4:15" x14ac:dyDescent="0.3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4:15" x14ac:dyDescent="0.3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4:15" x14ac:dyDescent="0.3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4:15" x14ac:dyDescent="0.3"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4:15" x14ac:dyDescent="0.3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4:15" x14ac:dyDescent="0.3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4:15" x14ac:dyDescent="0.3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4:15" x14ac:dyDescent="0.3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4:15" x14ac:dyDescent="0.3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4:15" x14ac:dyDescent="0.3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4:15" x14ac:dyDescent="0.3"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4:15" x14ac:dyDescent="0.3"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4:15" x14ac:dyDescent="0.3"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4:15" x14ac:dyDescent="0.3"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4:15" x14ac:dyDescent="0.3"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4:15" x14ac:dyDescent="0.3"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2" spans="4:15" x14ac:dyDescent="0.3">
      <c r="D52" t="s">
        <v>30</v>
      </c>
    </row>
    <row r="54" spans="4:15" x14ac:dyDescent="0.3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4:15" x14ac:dyDescent="0.3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4:15" x14ac:dyDescent="0.3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4:15" x14ac:dyDescent="0.3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4:15" x14ac:dyDescent="0.3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4:15" x14ac:dyDescent="0.3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4:15" x14ac:dyDescent="0.3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4:15" x14ac:dyDescent="0.3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4:15" x14ac:dyDescent="0.3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4:15" x14ac:dyDescent="0.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4:15" x14ac:dyDescent="0.3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4:15" x14ac:dyDescent="0.3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4:15" x14ac:dyDescent="0.3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4:15" x14ac:dyDescent="0.3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4:15" x14ac:dyDescent="0.3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4:15" x14ac:dyDescent="0.3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4:15" x14ac:dyDescent="0.3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4:15" x14ac:dyDescent="0.3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4:15" x14ac:dyDescent="0.3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4:15" x14ac:dyDescent="0.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4:15" x14ac:dyDescent="0.3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4:15" x14ac:dyDescent="0.3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7" spans="4:15" x14ac:dyDescent="0.3">
      <c r="D77" t="s">
        <v>31</v>
      </c>
    </row>
    <row r="79" spans="4:15" x14ac:dyDescent="0.3"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4:15" x14ac:dyDescent="0.3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4:15" x14ac:dyDescent="0.3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4:15" x14ac:dyDescent="0.3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4:15" x14ac:dyDescent="0.3"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4:15" x14ac:dyDescent="0.3"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4:15" x14ac:dyDescent="0.3"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4:15" x14ac:dyDescent="0.3"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4:15" x14ac:dyDescent="0.3"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4:15" x14ac:dyDescent="0.3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4:15" x14ac:dyDescent="0.3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4:15" x14ac:dyDescent="0.3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4:15" x14ac:dyDescent="0.3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4:15" x14ac:dyDescent="0.3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4:15" x14ac:dyDescent="0.3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4:15" x14ac:dyDescent="0.3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4:15" x14ac:dyDescent="0.3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4:15" x14ac:dyDescent="0.3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4:15" x14ac:dyDescent="0.3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4:15" x14ac:dyDescent="0.3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4:15" x14ac:dyDescent="0.3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4:15" x14ac:dyDescent="0.3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popis mereni</vt:lpstr>
      <vt:lpstr>M01</vt:lpstr>
      <vt:lpstr>M02</vt:lpstr>
      <vt:lpstr>M03</vt:lpstr>
      <vt:lpstr>interpretace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janota</dc:creator>
  <cp:lastModifiedBy>Popov Savva</cp:lastModifiedBy>
  <dcterms:created xsi:type="dcterms:W3CDTF">2023-11-29T10:15:04Z</dcterms:created>
  <dcterms:modified xsi:type="dcterms:W3CDTF">2026-03-19T12:12:05Z</dcterms:modified>
</cp:coreProperties>
</file>