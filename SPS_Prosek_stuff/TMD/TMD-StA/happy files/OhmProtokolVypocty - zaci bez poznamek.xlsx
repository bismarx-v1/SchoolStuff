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tastny\Učení SPŠ Prosek\TMD\Výuka 2023-2024\Protokoly\"/>
    </mc:Choice>
  </mc:AlternateContent>
  <xr:revisionPtr revIDLastSave="0" documentId="13_ncr:1_{29054B35-C1FB-4937-BD09-7A163F37B699}" xr6:coauthVersionLast="47" xr6:coauthVersionMax="47" xr10:uidLastSave="{00000000-0000-0000-0000-000000000000}"/>
  <bookViews>
    <workbookView xWindow="28680" yWindow="-1560" windowWidth="29040" windowHeight="15720" xr2:uid="{E176773F-03A7-447E-A557-94EFD0BA4C8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 s="1"/>
  <c r="M17" i="1"/>
  <c r="O7" i="1"/>
  <c r="O6" i="1"/>
  <c r="E8" i="1"/>
  <c r="F8" i="1"/>
  <c r="G8" i="1"/>
  <c r="H8" i="1"/>
  <c r="I8" i="1"/>
  <c r="J8" i="1"/>
  <c r="K8" i="1"/>
  <c r="L8" i="1"/>
  <c r="M8" i="1"/>
  <c r="D8" i="1"/>
  <c r="O8" i="1" s="1"/>
  <c r="O17" i="1" l="1"/>
</calcChain>
</file>

<file path=xl/sharedStrings.xml><?xml version="1.0" encoding="utf-8"?>
<sst xmlns="http://schemas.openxmlformats.org/spreadsheetml/2006/main" count="23" uniqueCount="22">
  <si>
    <t>UNI-T</t>
  </si>
  <si>
    <t>MT-5211</t>
  </si>
  <si>
    <t>Průměr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</si>
  <si>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</si>
  <si>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B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</si>
  <si>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B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</si>
  <si>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t>-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</si>
  <si>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</si>
  <si>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C</t>
    </r>
    <r>
      <rPr>
        <sz val="11"/>
        <color theme="1"/>
        <rFont val="Calibri"/>
        <family val="2"/>
        <charset val="238"/>
        <scheme val="minor"/>
      </rPr>
      <t xml:space="preserve"> (i[A])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</si>
  <si>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C</t>
    </r>
    <r>
      <rPr>
        <sz val="11"/>
        <color theme="1"/>
        <rFont val="Calibri"/>
        <family val="2"/>
        <charset val="238"/>
        <scheme val="minor"/>
      </rPr>
      <t xml:space="preserve"> (u[V])</t>
    </r>
  </si>
  <si>
    <t>±</t>
  </si>
  <si>
    <t>Výpočet nejistoty měření - Lab01 Ověření Ohmova zákona</t>
  </si>
  <si>
    <t>Napětí (u[V])</t>
  </si>
  <si>
    <t>Proud (i[A])</t>
  </si>
  <si>
    <r>
      <t>Odpor (R[</t>
    </r>
    <r>
      <rPr>
        <sz val="11"/>
        <color theme="1"/>
        <rFont val="Calibri"/>
        <family val="2"/>
        <charset val="238"/>
      </rPr>
      <t>Ω])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</si>
  <si>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 (R[Ω])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</si>
  <si>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RC</t>
    </r>
    <r>
      <rPr>
        <sz val="11"/>
        <color theme="1"/>
        <rFont val="Calibri"/>
        <family val="2"/>
        <charset val="238"/>
        <scheme val="minor"/>
      </rPr>
      <t xml:space="preserve"> (R[Ω])</t>
    </r>
  </si>
  <si>
    <t>Ω</t>
  </si>
  <si>
    <t>R =</t>
  </si>
  <si>
    <t>%</t>
  </si>
  <si>
    <t>digit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</si>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</sst>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18</xdr:row>
      <xdr:rowOff>0</xdr:rowOff>
    </xdr:from>
    <xdr:to>
      <xdr:col>15</xdr:col>
      <xdr:colOff>65594</xdr:colOff>
      <xdr:row>24</xdr:row>
      <xdr:rowOff>95095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202F4F8-9742-A24F-ACFA-877F7EE3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609975"/>
          <a:ext cx="8647619" cy="1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E765-AB34-4A64-9C81-06E1616E42C2}">
  <dimension ref="B2:P17"/>
  <sheetViews>
    <sheetView tabSelected="1" workbookViewId="0">
      <selection activeCell="Q14" sqref="Q14"/>
    </sheetView>
  </sheetViews>
  <sheetFormatPr defaultRowHeight="15" x14ac:dyDescent="0.25"/>
  <cols>
    <col min="3" max="3" width="16.5703125" bestFit="1" customWidth="1"/>
    <col min="7" max="7" width="12" bestFit="1" customWidth="1"/>
  </cols>
  <sheetData>
    <row r="2" spans="2:15" ht="23.25" x14ac:dyDescent="0.35">
      <c r="B2" s="2" t="s">
        <v>11</v>
      </c>
    </row>
    <row r="4" spans="2:15" ht="15.75" thickBot="1" x14ac:dyDescent="0.3"/>
    <row r="5" spans="2:15" x14ac:dyDescent="0.25">
      <c r="C5" s="6"/>
      <c r="D5" s="22">
        <v>1</v>
      </c>
      <c r="E5" s="22">
        <v>2</v>
      </c>
      <c r="F5" s="22">
        <v>3</v>
      </c>
      <c r="G5" s="22">
        <v>4</v>
      </c>
      <c r="H5" s="22">
        <v>5</v>
      </c>
      <c r="I5" s="22">
        <v>6</v>
      </c>
      <c r="J5" s="22">
        <v>7</v>
      </c>
      <c r="K5" s="22">
        <v>8</v>
      </c>
      <c r="L5" s="22">
        <v>9</v>
      </c>
      <c r="M5" s="7">
        <v>10</v>
      </c>
      <c r="O5" s="3" t="s">
        <v>2</v>
      </c>
    </row>
    <row r="6" spans="2:15" x14ac:dyDescent="0.25">
      <c r="C6" s="23" t="s">
        <v>13</v>
      </c>
      <c r="D6" s="1">
        <v>9.4000000000000004E-3</v>
      </c>
      <c r="E6" s="1">
        <v>1.8825999999999999E-2</v>
      </c>
      <c r="F6" s="1">
        <v>2.8149E-2</v>
      </c>
      <c r="G6" s="1">
        <v>3.7335E-2</v>
      </c>
      <c r="H6" s="1">
        <v>4.385E-2</v>
      </c>
      <c r="I6" s="1">
        <v>5.0360000000000002E-2</v>
      </c>
      <c r="J6" s="1">
        <v>5.6820000000000002E-2</v>
      </c>
      <c r="K6" s="1">
        <v>6.3049999999999995E-2</v>
      </c>
      <c r="L6" s="1">
        <v>6.9930000000000006E-2</v>
      </c>
      <c r="M6" s="24">
        <v>7.6630000000000004E-2</v>
      </c>
      <c r="O6" s="4">
        <f>SUM(D6:M6)/10</f>
        <v>4.5435000000000003E-2</v>
      </c>
    </row>
    <row r="7" spans="2:15" x14ac:dyDescent="0.25">
      <c r="C7" s="23" t="s">
        <v>12</v>
      </c>
      <c r="D7" s="1">
        <v>0.75</v>
      </c>
      <c r="E7" s="1">
        <v>1.5</v>
      </c>
      <c r="F7" s="1">
        <v>2.25</v>
      </c>
      <c r="G7" s="1">
        <v>3</v>
      </c>
      <c r="H7" s="1">
        <v>3.5</v>
      </c>
      <c r="I7" s="1">
        <v>4</v>
      </c>
      <c r="J7" s="1">
        <v>4.5</v>
      </c>
      <c r="K7" s="1">
        <v>5</v>
      </c>
      <c r="L7" s="1">
        <v>5.5</v>
      </c>
      <c r="M7" s="24">
        <v>6</v>
      </c>
      <c r="O7" s="4">
        <f>SUM(D7:M7)/10</f>
        <v>3.6</v>
      </c>
    </row>
    <row r="8" spans="2:15" ht="15.75" thickBot="1" x14ac:dyDescent="0.3">
      <c r="C8" s="8" t="s">
        <v>14</v>
      </c>
      <c r="D8" s="25">
        <f>D7/D6</f>
        <v>79.787234042553195</v>
      </c>
      <c r="E8" s="25">
        <f t="shared" ref="E8:M8" si="0">E7/E6</f>
        <v>79.67704238818655</v>
      </c>
      <c r="F8" s="25">
        <f t="shared" si="0"/>
        <v>79.931791537887662</v>
      </c>
      <c r="G8" s="25">
        <f t="shared" si="0"/>
        <v>80.353555644837286</v>
      </c>
      <c r="H8" s="25">
        <f t="shared" si="0"/>
        <v>79.81755986316989</v>
      </c>
      <c r="I8" s="25">
        <f t="shared" si="0"/>
        <v>79.428117553613973</v>
      </c>
      <c r="J8" s="25">
        <f t="shared" si="0"/>
        <v>79.197465681098208</v>
      </c>
      <c r="K8" s="25">
        <f t="shared" si="0"/>
        <v>79.302141157811263</v>
      </c>
      <c r="L8" s="25">
        <f t="shared" si="0"/>
        <v>78.65007865007864</v>
      </c>
      <c r="M8" s="9">
        <f t="shared" si="0"/>
        <v>78.298316586193394</v>
      </c>
      <c r="O8" s="5">
        <f>SUM(D8:M8)/10</f>
        <v>79.444330310542995</v>
      </c>
    </row>
    <row r="9" spans="2:15" ht="15.75" thickBot="1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5" x14ac:dyDescent="0.25">
      <c r="C10" s="13"/>
      <c r="D10" s="14" t="s">
        <v>19</v>
      </c>
      <c r="E10" s="14" t="s">
        <v>20</v>
      </c>
      <c r="F10" s="15" t="s">
        <v>21</v>
      </c>
    </row>
    <row r="11" spans="2:15" x14ac:dyDescent="0.25">
      <c r="C11" s="16" t="s">
        <v>0</v>
      </c>
      <c r="D11" s="17">
        <v>0</v>
      </c>
      <c r="E11" s="17" t="s">
        <v>6</v>
      </c>
      <c r="F11" s="18">
        <v>0</v>
      </c>
    </row>
    <row r="12" spans="2:15" ht="15.75" thickBot="1" x14ac:dyDescent="0.3">
      <c r="C12" s="19" t="s">
        <v>1</v>
      </c>
      <c r="D12" s="20">
        <v>0</v>
      </c>
      <c r="E12" s="20">
        <v>0</v>
      </c>
      <c r="F12" s="21" t="s">
        <v>6</v>
      </c>
    </row>
    <row r="13" spans="2:15" ht="15.75" thickBot="1" x14ac:dyDescent="0.3"/>
    <row r="14" spans="2:15" ht="18" x14ac:dyDescent="0.35">
      <c r="C14" s="6" t="s">
        <v>3</v>
      </c>
      <c r="D14" s="7">
        <v>0</v>
      </c>
      <c r="F14" s="6" t="s">
        <v>4</v>
      </c>
      <c r="G14" s="7">
        <v>0</v>
      </c>
      <c r="I14" s="6" t="s">
        <v>8</v>
      </c>
      <c r="J14" s="7">
        <v>0</v>
      </c>
      <c r="L14" s="6" t="s">
        <v>15</v>
      </c>
      <c r="M14" s="7">
        <f>SQRT(((1/O6)*J15)^2+(-(O7/O6^2)*J14)^2)</f>
        <v>0</v>
      </c>
    </row>
    <row r="15" spans="2:15" ht="18.75" thickBot="1" x14ac:dyDescent="0.4">
      <c r="C15" s="8" t="s">
        <v>7</v>
      </c>
      <c r="D15" s="9">
        <v>0</v>
      </c>
      <c r="F15" s="8" t="s">
        <v>5</v>
      </c>
      <c r="G15" s="9">
        <v>0</v>
      </c>
      <c r="I15" s="8" t="s">
        <v>9</v>
      </c>
      <c r="J15" s="9">
        <v>0</v>
      </c>
      <c r="L15" s="8" t="s">
        <v>16</v>
      </c>
      <c r="M15" s="9">
        <f>M14*2</f>
        <v>0</v>
      </c>
    </row>
    <row r="16" spans="2:15" ht="15.75" thickBot="1" x14ac:dyDescent="0.3">
      <c r="C16" s="1"/>
      <c r="D16" s="1"/>
    </row>
    <row r="17" spans="12:16" ht="15.75" thickBot="1" x14ac:dyDescent="0.3">
      <c r="L17" s="10" t="s">
        <v>18</v>
      </c>
      <c r="M17" s="11">
        <f>O8</f>
        <v>79.444330310542995</v>
      </c>
      <c r="N17" s="11" t="s">
        <v>10</v>
      </c>
      <c r="O17" s="11">
        <f>M15</f>
        <v>0</v>
      </c>
      <c r="P17" s="12" t="s">
        <v>17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Padmann Šťastný</dc:creator>
  <cp:lastModifiedBy>Stastny, Adam</cp:lastModifiedBy>
  <dcterms:created xsi:type="dcterms:W3CDTF">2023-02-19T12:00:11Z</dcterms:created>
  <dcterms:modified xsi:type="dcterms:W3CDTF">2023-12-25T13:47:24Z</dcterms:modified>
</cp:coreProperties>
</file>