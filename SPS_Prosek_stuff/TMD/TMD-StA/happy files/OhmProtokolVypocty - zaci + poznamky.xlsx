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Stastny\Učení SPŠ Prosek\TMD\Výuka 2023-2024\Protokoly\"/>
    </mc:Choice>
  </mc:AlternateContent>
  <xr:revisionPtr revIDLastSave="0" documentId="13_ncr:1_{2128B07A-3883-484F-8338-CC88F995D0FA}" xr6:coauthVersionLast="47" xr6:coauthVersionMax="47" xr10:uidLastSave="{00000000-0000-0000-0000-000000000000}"/>
  <bookViews>
    <workbookView xWindow="-120" yWindow="-120" windowWidth="29040" windowHeight="15720" xr2:uid="{E176773F-03A7-447E-A557-94EFD0BA4C88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M15" i="1" s="1"/>
  <c r="M17" i="1"/>
  <c r="O7" i="1"/>
  <c r="O6" i="1"/>
  <c r="E8" i="1"/>
  <c r="F8" i="1"/>
  <c r="G8" i="1"/>
  <c r="H8" i="1"/>
  <c r="I8" i="1"/>
  <c r="J8" i="1"/>
  <c r="K8" i="1"/>
  <c r="L8" i="1"/>
  <c r="M8" i="1"/>
  <c r="D8" i="1"/>
  <c r="O8" i="1" s="1"/>
  <c r="O17" i="1" l="1"/>
</calcChain>
</file>

<file path=xl/sharedStrings.xml><?xml version="1.0" encoding="utf-8"?>
<sst xmlns="http://schemas.openxmlformats.org/spreadsheetml/2006/main" count="23" uniqueCount="22">
  <si>
    <t>UNI-T</t>
  </si>
  <si>
    <t>MT-5211</t>
  </si>
  <si>
    <t>Průměr</t>
  </si>
  <si>
    <r>
      <t>u</t>
    </r>
    <r>
      <rPr>
        <vertAlign val="subscript"/>
        <sz val="11"/>
        <color theme="1"/>
        <rFont val="Calibri"/>
        <family val="2"/>
        <charset val="238"/>
        <scheme val="minor"/>
      </rPr>
      <t>A</t>
    </r>
    <r>
      <rPr>
        <sz val="11"/>
        <color theme="1"/>
        <rFont val="Calibri"/>
        <family val="2"/>
        <charset val="238"/>
        <scheme val="minor"/>
      </rPr>
      <t xml:space="preserve"> (i[A])</t>
    </r>
  </si>
  <si>
    <r>
      <t>u</t>
    </r>
    <r>
      <rPr>
        <vertAlign val="subscript"/>
        <sz val="11"/>
        <color theme="1"/>
        <rFont val="Calibri"/>
        <family val="2"/>
        <charset val="238"/>
        <scheme val="minor"/>
      </rPr>
      <t>B</t>
    </r>
    <r>
      <rPr>
        <sz val="11"/>
        <color theme="1"/>
        <rFont val="Calibri"/>
        <family val="2"/>
        <charset val="238"/>
        <scheme val="minor"/>
      </rPr>
      <t xml:space="preserve"> (i[A])</t>
    </r>
  </si>
  <si>
    <r>
      <t>u</t>
    </r>
    <r>
      <rPr>
        <vertAlign val="subscript"/>
        <sz val="11"/>
        <color theme="1"/>
        <rFont val="Calibri"/>
        <family val="2"/>
        <charset val="238"/>
        <scheme val="minor"/>
      </rPr>
      <t>B</t>
    </r>
    <r>
      <rPr>
        <sz val="11"/>
        <color theme="1"/>
        <rFont val="Calibri"/>
        <family val="2"/>
        <charset val="238"/>
        <scheme val="minor"/>
      </rPr>
      <t xml:space="preserve"> (u[V])</t>
    </r>
  </si>
  <si>
    <t>-</t>
  </si>
  <si>
    <r>
      <t>u</t>
    </r>
    <r>
      <rPr>
        <vertAlign val="subscript"/>
        <sz val="11"/>
        <color theme="1"/>
        <rFont val="Calibri"/>
        <family val="2"/>
        <charset val="238"/>
        <scheme val="minor"/>
      </rPr>
      <t>A</t>
    </r>
    <r>
      <rPr>
        <sz val="11"/>
        <color theme="1"/>
        <rFont val="Calibri"/>
        <family val="2"/>
        <charset val="238"/>
        <scheme val="minor"/>
      </rPr>
      <t xml:space="preserve"> (u[V])</t>
    </r>
  </si>
  <si>
    <r>
      <t>u</t>
    </r>
    <r>
      <rPr>
        <vertAlign val="subscript"/>
        <sz val="11"/>
        <color theme="1"/>
        <rFont val="Calibri"/>
        <family val="2"/>
        <charset val="238"/>
        <scheme val="minor"/>
      </rPr>
      <t>C</t>
    </r>
    <r>
      <rPr>
        <sz val="11"/>
        <color theme="1"/>
        <rFont val="Calibri"/>
        <family val="2"/>
        <charset val="238"/>
        <scheme val="minor"/>
      </rPr>
      <t xml:space="preserve"> (i[A])</t>
    </r>
  </si>
  <si>
    <r>
      <t>u</t>
    </r>
    <r>
      <rPr>
        <vertAlign val="subscript"/>
        <sz val="11"/>
        <color theme="1"/>
        <rFont val="Calibri"/>
        <family val="2"/>
        <charset val="238"/>
        <scheme val="minor"/>
      </rPr>
      <t>C</t>
    </r>
    <r>
      <rPr>
        <sz val="11"/>
        <color theme="1"/>
        <rFont val="Calibri"/>
        <family val="2"/>
        <charset val="238"/>
        <scheme val="minor"/>
      </rPr>
      <t xml:space="preserve"> (u[V])</t>
    </r>
  </si>
  <si>
    <t>±</t>
  </si>
  <si>
    <t>Výpočet nejistoty měření - Lab01 Ověření Ohmova zákona</t>
  </si>
  <si>
    <t>Napětí (u[V])</t>
  </si>
  <si>
    <t>Proud (i[A])</t>
  </si>
  <si>
    <r>
      <t>Odpor (R[</t>
    </r>
    <r>
      <rPr>
        <sz val="11"/>
        <color theme="1"/>
        <rFont val="Calibri"/>
        <family val="2"/>
        <charset val="238"/>
      </rPr>
      <t>Ω])</t>
    </r>
  </si>
  <si>
    <r>
      <t>u</t>
    </r>
    <r>
      <rPr>
        <vertAlign val="subscript"/>
        <sz val="11"/>
        <color theme="1"/>
        <rFont val="Calibri"/>
        <family val="2"/>
        <charset val="238"/>
        <scheme val="minor"/>
      </rPr>
      <t>R</t>
    </r>
    <r>
      <rPr>
        <sz val="11"/>
        <color theme="1"/>
        <rFont val="Calibri"/>
        <family val="2"/>
        <charset val="238"/>
        <scheme val="minor"/>
      </rPr>
      <t xml:space="preserve"> (R[Ω])</t>
    </r>
  </si>
  <si>
    <r>
      <t>u</t>
    </r>
    <r>
      <rPr>
        <vertAlign val="subscript"/>
        <sz val="11"/>
        <color theme="1"/>
        <rFont val="Calibri"/>
        <family val="2"/>
        <charset val="238"/>
        <scheme val="minor"/>
      </rPr>
      <t>RC</t>
    </r>
    <r>
      <rPr>
        <sz val="11"/>
        <color theme="1"/>
        <rFont val="Calibri"/>
        <family val="2"/>
        <charset val="238"/>
        <scheme val="minor"/>
      </rPr>
      <t xml:space="preserve"> (R[Ω])</t>
    </r>
  </si>
  <si>
    <t>Ω</t>
  </si>
  <si>
    <t>R =</t>
  </si>
  <si>
    <t>%</t>
  </si>
  <si>
    <t>digit</t>
  </si>
  <si>
    <t>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</si>
</sst>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8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18</xdr:row>
      <xdr:rowOff>0</xdr:rowOff>
    </xdr:from>
    <xdr:to>
      <xdr:col>15</xdr:col>
      <xdr:colOff>65594</xdr:colOff>
      <xdr:row>24</xdr:row>
      <xdr:rowOff>95095</xdr:rowOff>
    </xdr:to>
    <xdr:pic>
      <xdr:nvPicPr>
        <xdr:cNvPr id="6" name="Obrázek 5">
          <a:extLst>
            <a:ext uri="{FF2B5EF4-FFF2-40B4-BE49-F238E27FC236}">
              <a16:creationId xmlns:a16="http://schemas.microsoft.com/office/drawing/2014/main" id="{0202F4F8-9742-A24F-ACFA-877F7EE39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775" y="3609975"/>
          <a:ext cx="8647619" cy="1238095"/>
        </a:xfrm>
        <a:prstGeom prst="rect">
          <a:avLst/>
        </a:prstGeom>
      </xdr:spPr>
    </xdr:pic>
    <xdr:clientData/>
  </xdr:twoCellAnchor>
  <xdr:twoCellAnchor>
    <xdr:from>
      <xdr:col>6</xdr:col>
      <xdr:colOff>266699</xdr:colOff>
      <xdr:row>26</xdr:row>
      <xdr:rowOff>9525</xdr:rowOff>
    </xdr:from>
    <xdr:to>
      <xdr:col>11</xdr:col>
      <xdr:colOff>542924</xdr:colOff>
      <xdr:row>32</xdr:row>
      <xdr:rowOff>114300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F2B06DAB-29F8-F8AC-F078-4F78B9CE75B4}"/>
            </a:ext>
          </a:extLst>
        </xdr:cNvPr>
        <xdr:cNvSpPr txBox="1"/>
      </xdr:nvSpPr>
      <xdr:spPr>
        <a:xfrm>
          <a:off x="4419599" y="5219700"/>
          <a:ext cx="3514725" cy="1247775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cs-CZ" sz="1600"/>
            <a:t>Zde vložte standardní</a:t>
          </a:r>
          <a:r>
            <a:rPr lang="cs-CZ" sz="1600" baseline="0"/>
            <a:t> nejistotu typu C (nevkládejte rozšířenou standardní nejistotu typu C - to je nejistota typu C vynásobená číslem 2)</a:t>
          </a:r>
          <a:endParaRPr lang="cs-CZ" sz="1600"/>
        </a:p>
      </xdr:txBody>
    </xdr:sp>
    <xdr:clientData/>
  </xdr:twoCellAnchor>
  <xdr:twoCellAnchor>
    <xdr:from>
      <xdr:col>9</xdr:col>
      <xdr:colOff>4762</xdr:colOff>
      <xdr:row>15</xdr:row>
      <xdr:rowOff>0</xdr:rowOff>
    </xdr:from>
    <xdr:to>
      <xdr:col>9</xdr:col>
      <xdr:colOff>9525</xdr:colOff>
      <xdr:row>26</xdr:row>
      <xdr:rowOff>9525</xdr:rowOff>
    </xdr:to>
    <xdr:cxnSp macro="">
      <xdr:nvCxnSpPr>
        <xdr:cNvPr id="4" name="Přímá spojnice se šipkou 3">
          <a:extLst>
            <a:ext uri="{FF2B5EF4-FFF2-40B4-BE49-F238E27FC236}">
              <a16:creationId xmlns:a16="http://schemas.microsoft.com/office/drawing/2014/main" id="{91D9745E-302F-51FB-AE74-18CC2A33F750}"/>
            </a:ext>
          </a:extLst>
        </xdr:cNvPr>
        <xdr:cNvCxnSpPr>
          <a:stCxn id="2" idx="0"/>
        </xdr:cNvCxnSpPr>
      </xdr:nvCxnSpPr>
      <xdr:spPr>
        <a:xfrm flipV="1">
          <a:off x="6176962" y="3095625"/>
          <a:ext cx="4763" cy="21240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28574</xdr:colOff>
      <xdr:row>2</xdr:row>
      <xdr:rowOff>76200</xdr:rowOff>
    </xdr:from>
    <xdr:to>
      <xdr:col>22</xdr:col>
      <xdr:colOff>495299</xdr:colOff>
      <xdr:row>6</xdr:row>
      <xdr:rowOff>0</xdr:rowOff>
    </xdr:to>
    <xdr:sp macro="" textlink="">
      <xdr:nvSpPr>
        <xdr:cNvPr id="7" name="TextovéPole 6">
          <a:extLst>
            <a:ext uri="{FF2B5EF4-FFF2-40B4-BE49-F238E27FC236}">
              <a16:creationId xmlns:a16="http://schemas.microsoft.com/office/drawing/2014/main" id="{A8FD0721-F95F-476F-AA7A-C1C13477F21A}"/>
            </a:ext>
          </a:extLst>
        </xdr:cNvPr>
        <xdr:cNvSpPr txBox="1"/>
      </xdr:nvSpPr>
      <xdr:spPr>
        <a:xfrm>
          <a:off x="11077574" y="561975"/>
          <a:ext cx="3514725" cy="695325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cs-CZ" sz="1600"/>
            <a:t>Výsledná standardní</a:t>
          </a:r>
          <a:r>
            <a:rPr lang="cs-CZ" sz="1600" baseline="0"/>
            <a:t> nejistota typu C pro nepřímé měření odporu</a:t>
          </a:r>
          <a:endParaRPr lang="cs-CZ" sz="1600"/>
        </a:p>
      </xdr:txBody>
    </xdr:sp>
    <xdr:clientData/>
  </xdr:twoCellAnchor>
  <xdr:twoCellAnchor>
    <xdr:from>
      <xdr:col>13</xdr:col>
      <xdr:colOff>19050</xdr:colOff>
      <xdr:row>4</xdr:row>
      <xdr:rowOff>33338</xdr:rowOff>
    </xdr:from>
    <xdr:to>
      <xdr:col>17</xdr:col>
      <xdr:colOff>28574</xdr:colOff>
      <xdr:row>13</xdr:row>
      <xdr:rowOff>0</xdr:rowOff>
    </xdr:to>
    <xdr:cxnSp macro="">
      <xdr:nvCxnSpPr>
        <xdr:cNvPr id="8" name="Přímá spojnice se šipkou 7">
          <a:extLst>
            <a:ext uri="{FF2B5EF4-FFF2-40B4-BE49-F238E27FC236}">
              <a16:creationId xmlns:a16="http://schemas.microsoft.com/office/drawing/2014/main" id="{FB980397-1BF8-480E-8529-A144B57E8BFA}"/>
            </a:ext>
          </a:extLst>
        </xdr:cNvPr>
        <xdr:cNvCxnSpPr>
          <a:stCxn id="7" idx="1"/>
        </xdr:cNvCxnSpPr>
      </xdr:nvCxnSpPr>
      <xdr:spPr>
        <a:xfrm flipH="1">
          <a:off x="8629650" y="909638"/>
          <a:ext cx="2447924" cy="1719262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28574</xdr:colOff>
      <xdr:row>6</xdr:row>
      <xdr:rowOff>114300</xdr:rowOff>
    </xdr:from>
    <xdr:to>
      <xdr:col>22</xdr:col>
      <xdr:colOff>495299</xdr:colOff>
      <xdr:row>11</xdr:row>
      <xdr:rowOff>85725</xdr:rowOff>
    </xdr:to>
    <xdr:sp macro="" textlink="">
      <xdr:nvSpPr>
        <xdr:cNvPr id="11" name="TextovéPole 10">
          <a:extLst>
            <a:ext uri="{FF2B5EF4-FFF2-40B4-BE49-F238E27FC236}">
              <a16:creationId xmlns:a16="http://schemas.microsoft.com/office/drawing/2014/main" id="{84224CDB-C035-40B2-913E-A3365F8947CB}"/>
            </a:ext>
          </a:extLst>
        </xdr:cNvPr>
        <xdr:cNvSpPr txBox="1"/>
      </xdr:nvSpPr>
      <xdr:spPr>
        <a:xfrm>
          <a:off x="11077574" y="1371600"/>
          <a:ext cx="3514725" cy="942975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cs-CZ" sz="1600"/>
            <a:t>Výsledná rozšířená standardní</a:t>
          </a:r>
          <a:r>
            <a:rPr lang="cs-CZ" sz="1600" baseline="0"/>
            <a:t> nejistota typu C pro nepřímé měření odporu</a:t>
          </a:r>
        </a:p>
        <a:p>
          <a:pPr algn="ctr"/>
          <a:r>
            <a:rPr lang="cs-CZ" sz="1600" baseline="0"/>
            <a:t>(vynásobená číslem 2)</a:t>
          </a:r>
          <a:endParaRPr lang="cs-CZ" sz="1600"/>
        </a:p>
      </xdr:txBody>
    </xdr:sp>
    <xdr:clientData/>
  </xdr:twoCellAnchor>
  <xdr:twoCellAnchor>
    <xdr:from>
      <xdr:col>13</xdr:col>
      <xdr:colOff>28575</xdr:colOff>
      <xdr:row>8</xdr:row>
      <xdr:rowOff>195263</xdr:rowOff>
    </xdr:from>
    <xdr:to>
      <xdr:col>17</xdr:col>
      <xdr:colOff>28574</xdr:colOff>
      <xdr:row>14</xdr:row>
      <xdr:rowOff>47625</xdr:rowOff>
    </xdr:to>
    <xdr:cxnSp macro="">
      <xdr:nvCxnSpPr>
        <xdr:cNvPr id="12" name="Přímá spojnice se šipkou 11">
          <a:extLst>
            <a:ext uri="{FF2B5EF4-FFF2-40B4-BE49-F238E27FC236}">
              <a16:creationId xmlns:a16="http://schemas.microsoft.com/office/drawing/2014/main" id="{31A9B85C-645A-4942-B076-85345E1C1E1A}"/>
            </a:ext>
          </a:extLst>
        </xdr:cNvPr>
        <xdr:cNvCxnSpPr>
          <a:stCxn id="11" idx="1"/>
        </xdr:cNvCxnSpPr>
      </xdr:nvCxnSpPr>
      <xdr:spPr>
        <a:xfrm flipH="1">
          <a:off x="8639175" y="1843088"/>
          <a:ext cx="2438399" cy="1062037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200024</xdr:colOff>
      <xdr:row>17</xdr:row>
      <xdr:rowOff>104775</xdr:rowOff>
    </xdr:from>
    <xdr:to>
      <xdr:col>23</xdr:col>
      <xdr:colOff>409575</xdr:colOff>
      <xdr:row>24</xdr:row>
      <xdr:rowOff>104775</xdr:rowOff>
    </xdr:to>
    <xdr:sp macro="" textlink="">
      <xdr:nvSpPr>
        <xdr:cNvPr id="16" name="TextovéPole 15">
          <a:extLst>
            <a:ext uri="{FF2B5EF4-FFF2-40B4-BE49-F238E27FC236}">
              <a16:creationId xmlns:a16="http://schemas.microsoft.com/office/drawing/2014/main" id="{2AD87BCB-0B54-4187-BB40-187D19F01DEA}"/>
            </a:ext>
          </a:extLst>
        </xdr:cNvPr>
        <xdr:cNvSpPr txBox="1"/>
      </xdr:nvSpPr>
      <xdr:spPr>
        <a:xfrm>
          <a:off x="11249024" y="3600450"/>
          <a:ext cx="3867151" cy="1333500"/>
        </a:xfrm>
        <a:prstGeom prst="rect">
          <a:avLst/>
        </a:prstGeom>
        <a:solidFill>
          <a:schemeClr val="lt1"/>
        </a:solidFill>
        <a:ln w="952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cs-CZ" sz="1600"/>
            <a:t>Průměrný odpor ± rozšířená standardní</a:t>
          </a:r>
          <a:r>
            <a:rPr lang="cs-CZ" sz="1600" baseline="0"/>
            <a:t> nejistota typu C pro nepřímé měření odporu</a:t>
          </a:r>
        </a:p>
        <a:p>
          <a:pPr algn="ctr"/>
          <a:r>
            <a:rPr lang="cs-CZ" sz="1600" baseline="0"/>
            <a:t>(vynásobená číslem 2) - nutno zaokrouhlit na 2 až 3 cifry</a:t>
          </a:r>
          <a:endParaRPr lang="cs-CZ" sz="1600"/>
        </a:p>
      </xdr:txBody>
    </xdr:sp>
    <xdr:clientData/>
  </xdr:twoCellAnchor>
  <xdr:twoCellAnchor>
    <xdr:from>
      <xdr:col>16</xdr:col>
      <xdr:colOff>38100</xdr:colOff>
      <xdr:row>17</xdr:row>
      <xdr:rowOff>28575</xdr:rowOff>
    </xdr:from>
    <xdr:to>
      <xdr:col>17</xdr:col>
      <xdr:colOff>200024</xdr:colOff>
      <xdr:row>21</xdr:row>
      <xdr:rowOff>9525</xdr:rowOff>
    </xdr:to>
    <xdr:cxnSp macro="">
      <xdr:nvCxnSpPr>
        <xdr:cNvPr id="17" name="Přímá spojnice se šipkou 16">
          <a:extLst>
            <a:ext uri="{FF2B5EF4-FFF2-40B4-BE49-F238E27FC236}">
              <a16:creationId xmlns:a16="http://schemas.microsoft.com/office/drawing/2014/main" id="{9F3D21D2-4B82-45B8-B7B6-432B5F5E17D0}"/>
            </a:ext>
          </a:extLst>
        </xdr:cNvPr>
        <xdr:cNvCxnSpPr>
          <a:stCxn id="16" idx="1"/>
        </xdr:cNvCxnSpPr>
      </xdr:nvCxnSpPr>
      <xdr:spPr>
        <a:xfrm flipH="1" flipV="1">
          <a:off x="10477500" y="3524250"/>
          <a:ext cx="771524" cy="74295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600075</xdr:colOff>
      <xdr:row>25</xdr:row>
      <xdr:rowOff>180975</xdr:rowOff>
    </xdr:from>
    <xdr:to>
      <xdr:col>5</xdr:col>
      <xdr:colOff>171450</xdr:colOff>
      <xdr:row>29</xdr:row>
      <xdr:rowOff>76200</xdr:rowOff>
    </xdr:to>
    <xdr:sp macro="" textlink="">
      <xdr:nvSpPr>
        <xdr:cNvPr id="21" name="TextovéPole 20">
          <a:extLst>
            <a:ext uri="{FF2B5EF4-FFF2-40B4-BE49-F238E27FC236}">
              <a16:creationId xmlns:a16="http://schemas.microsoft.com/office/drawing/2014/main" id="{7E979BAC-5521-4A08-99E4-AA77AD482E3B}"/>
            </a:ext>
          </a:extLst>
        </xdr:cNvPr>
        <xdr:cNvSpPr txBox="1"/>
      </xdr:nvSpPr>
      <xdr:spPr>
        <a:xfrm>
          <a:off x="600075" y="5200650"/>
          <a:ext cx="3114675" cy="657225"/>
        </a:xfrm>
        <a:prstGeom prst="rect">
          <a:avLst/>
        </a:prstGeom>
        <a:solidFill>
          <a:schemeClr val="lt1"/>
        </a:solidFill>
        <a:ln w="9525" cmpd="sng">
          <a:solidFill>
            <a:schemeClr val="accent4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cs-CZ" sz="1600"/>
            <a:t>Nemusíte vkládat,</a:t>
          </a:r>
          <a:r>
            <a:rPr lang="cs-CZ" sz="1600" baseline="0"/>
            <a:t> hodnoty nemají</a:t>
          </a:r>
        </a:p>
        <a:p>
          <a:pPr algn="ctr"/>
          <a:r>
            <a:rPr lang="cs-CZ" sz="1600" baseline="0"/>
            <a:t>vliv na výsledek</a:t>
          </a:r>
        </a:p>
      </xdr:txBody>
    </xdr:sp>
    <xdr:clientData/>
  </xdr:twoCellAnchor>
  <xdr:twoCellAnchor>
    <xdr:from>
      <xdr:col>2</xdr:col>
      <xdr:colOff>938213</xdr:colOff>
      <xdr:row>15</xdr:row>
      <xdr:rowOff>9525</xdr:rowOff>
    </xdr:from>
    <xdr:to>
      <xdr:col>2</xdr:col>
      <xdr:colOff>942975</xdr:colOff>
      <xdr:row>25</xdr:row>
      <xdr:rowOff>180975</xdr:rowOff>
    </xdr:to>
    <xdr:cxnSp macro="">
      <xdr:nvCxnSpPr>
        <xdr:cNvPr id="22" name="Přímá spojnice se šipkou 21">
          <a:extLst>
            <a:ext uri="{FF2B5EF4-FFF2-40B4-BE49-F238E27FC236}">
              <a16:creationId xmlns:a16="http://schemas.microsoft.com/office/drawing/2014/main" id="{28E5A740-5FC2-4E83-8C4A-8A3BB98F2518}"/>
            </a:ext>
          </a:extLst>
        </xdr:cNvPr>
        <xdr:cNvCxnSpPr>
          <a:stCxn id="21" idx="0"/>
        </xdr:cNvCxnSpPr>
      </xdr:nvCxnSpPr>
      <xdr:spPr>
        <a:xfrm flipV="1">
          <a:off x="2157413" y="3105150"/>
          <a:ext cx="4762" cy="2095500"/>
        </a:xfrm>
        <a:prstGeom prst="straightConnector1">
          <a:avLst/>
        </a:prstGeom>
        <a:ln>
          <a:solidFill>
            <a:schemeClr val="accent4">
              <a:lumMod val="75000"/>
            </a:schemeClr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938213</xdr:colOff>
      <xdr:row>15</xdr:row>
      <xdr:rowOff>38100</xdr:rowOff>
    </xdr:from>
    <xdr:to>
      <xdr:col>5</xdr:col>
      <xdr:colOff>0</xdr:colOff>
      <xdr:row>25</xdr:row>
      <xdr:rowOff>180975</xdr:rowOff>
    </xdr:to>
    <xdr:cxnSp macro="">
      <xdr:nvCxnSpPr>
        <xdr:cNvPr id="26" name="Přímá spojnice se šipkou 25">
          <a:extLst>
            <a:ext uri="{FF2B5EF4-FFF2-40B4-BE49-F238E27FC236}">
              <a16:creationId xmlns:a16="http://schemas.microsoft.com/office/drawing/2014/main" id="{3A7F3186-0F92-454B-9599-CCAA2FC69E48}"/>
            </a:ext>
          </a:extLst>
        </xdr:cNvPr>
        <xdr:cNvCxnSpPr>
          <a:stCxn id="21" idx="0"/>
        </xdr:cNvCxnSpPr>
      </xdr:nvCxnSpPr>
      <xdr:spPr>
        <a:xfrm flipV="1">
          <a:off x="2157413" y="3133725"/>
          <a:ext cx="1385887" cy="2066925"/>
        </a:xfrm>
        <a:prstGeom prst="straightConnector1">
          <a:avLst/>
        </a:prstGeom>
        <a:ln>
          <a:solidFill>
            <a:schemeClr val="accent4">
              <a:lumMod val="75000"/>
            </a:schemeClr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938213</xdr:colOff>
      <xdr:row>12</xdr:row>
      <xdr:rowOff>9525</xdr:rowOff>
    </xdr:from>
    <xdr:to>
      <xdr:col>4</xdr:col>
      <xdr:colOff>200025</xdr:colOff>
      <xdr:row>26</xdr:row>
      <xdr:rowOff>19050</xdr:rowOff>
    </xdr:to>
    <xdr:cxnSp macro="">
      <xdr:nvCxnSpPr>
        <xdr:cNvPr id="29" name="Přímá spojnice se šipkou 28">
          <a:extLst>
            <a:ext uri="{FF2B5EF4-FFF2-40B4-BE49-F238E27FC236}">
              <a16:creationId xmlns:a16="http://schemas.microsoft.com/office/drawing/2014/main" id="{F5FA3716-1E78-4687-AA6E-A45AABBD4656}"/>
            </a:ext>
          </a:extLst>
        </xdr:cNvPr>
        <xdr:cNvCxnSpPr/>
      </xdr:nvCxnSpPr>
      <xdr:spPr>
        <a:xfrm flipV="1">
          <a:off x="2157413" y="2438400"/>
          <a:ext cx="976312" cy="2790825"/>
        </a:xfrm>
        <a:prstGeom prst="straightConnector1">
          <a:avLst/>
        </a:prstGeom>
        <a:ln>
          <a:solidFill>
            <a:schemeClr val="accent4">
              <a:lumMod val="75000"/>
            </a:schemeClr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AE765-AB34-4A64-9C81-06E1616E42C2}">
  <dimension ref="B2:P17"/>
  <sheetViews>
    <sheetView tabSelected="1" workbookViewId="0">
      <selection activeCell="L11" sqref="L11"/>
    </sheetView>
  </sheetViews>
  <sheetFormatPr defaultRowHeight="15" x14ac:dyDescent="0.25"/>
  <cols>
    <col min="3" max="3" width="16.5703125" bestFit="1" customWidth="1"/>
    <col min="7" max="7" width="12" bestFit="1" customWidth="1"/>
  </cols>
  <sheetData>
    <row r="2" spans="2:15" ht="23.25" x14ac:dyDescent="0.35">
      <c r="B2" s="2" t="s">
        <v>11</v>
      </c>
    </row>
    <row r="4" spans="2:15" ht="15.75" thickBot="1" x14ac:dyDescent="0.3"/>
    <row r="5" spans="2:15" x14ac:dyDescent="0.25">
      <c r="C5" s="6"/>
      <c r="D5" s="22">
        <v>1</v>
      </c>
      <c r="E5" s="22">
        <v>2</v>
      </c>
      <c r="F5" s="22">
        <v>3</v>
      </c>
      <c r="G5" s="22">
        <v>4</v>
      </c>
      <c r="H5" s="22">
        <v>5</v>
      </c>
      <c r="I5" s="22">
        <v>6</v>
      </c>
      <c r="J5" s="22">
        <v>7</v>
      </c>
      <c r="K5" s="22">
        <v>8</v>
      </c>
      <c r="L5" s="22">
        <v>9</v>
      </c>
      <c r="M5" s="7">
        <v>10</v>
      </c>
      <c r="O5" s="3" t="s">
        <v>2</v>
      </c>
    </row>
    <row r="6" spans="2:15" x14ac:dyDescent="0.25">
      <c r="C6" s="23" t="s">
        <v>13</v>
      </c>
      <c r="D6" s="24">
        <v>9.4000000000000004E-3</v>
      </c>
      <c r="E6" s="24">
        <v>1.8825999999999999E-2</v>
      </c>
      <c r="F6" s="24">
        <v>2.8149E-2</v>
      </c>
      <c r="G6" s="24">
        <v>3.7335E-2</v>
      </c>
      <c r="H6" s="24">
        <v>4.385E-2</v>
      </c>
      <c r="I6" s="24">
        <v>5.0360000000000002E-2</v>
      </c>
      <c r="J6" s="24">
        <v>5.6820000000000002E-2</v>
      </c>
      <c r="K6" s="24">
        <v>6.3049999999999995E-2</v>
      </c>
      <c r="L6" s="24">
        <v>6.9930000000000006E-2</v>
      </c>
      <c r="M6" s="25">
        <v>7.6630000000000004E-2</v>
      </c>
      <c r="O6" s="4">
        <f>SUM(D6:M6)/10</f>
        <v>4.5435000000000003E-2</v>
      </c>
    </row>
    <row r="7" spans="2:15" x14ac:dyDescent="0.25">
      <c r="C7" s="23" t="s">
        <v>12</v>
      </c>
      <c r="D7" s="24">
        <v>0.75</v>
      </c>
      <c r="E7" s="24">
        <v>1.5</v>
      </c>
      <c r="F7" s="24">
        <v>2.25</v>
      </c>
      <c r="G7" s="24">
        <v>3</v>
      </c>
      <c r="H7" s="24">
        <v>3.5</v>
      </c>
      <c r="I7" s="24">
        <v>4</v>
      </c>
      <c r="J7" s="24">
        <v>4.5</v>
      </c>
      <c r="K7" s="24">
        <v>5</v>
      </c>
      <c r="L7" s="24">
        <v>5.5</v>
      </c>
      <c r="M7" s="25">
        <v>6</v>
      </c>
      <c r="O7" s="4">
        <f>SUM(D7:M7)/10</f>
        <v>3.6</v>
      </c>
    </row>
    <row r="8" spans="2:15" ht="15.75" thickBot="1" x14ac:dyDescent="0.3">
      <c r="C8" s="8" t="s">
        <v>14</v>
      </c>
      <c r="D8" s="26">
        <f>D7/D6</f>
        <v>79.787234042553195</v>
      </c>
      <c r="E8" s="26">
        <f t="shared" ref="E8:M8" si="0">E7/E6</f>
        <v>79.67704238818655</v>
      </c>
      <c r="F8" s="26">
        <f t="shared" si="0"/>
        <v>79.931791537887662</v>
      </c>
      <c r="G8" s="26">
        <f t="shared" si="0"/>
        <v>80.353555644837286</v>
      </c>
      <c r="H8" s="26">
        <f t="shared" si="0"/>
        <v>79.81755986316989</v>
      </c>
      <c r="I8" s="26">
        <f t="shared" si="0"/>
        <v>79.428117553613973</v>
      </c>
      <c r="J8" s="26">
        <f t="shared" si="0"/>
        <v>79.197465681098208</v>
      </c>
      <c r="K8" s="26">
        <f t="shared" si="0"/>
        <v>79.302141157811263</v>
      </c>
      <c r="L8" s="26">
        <f t="shared" si="0"/>
        <v>78.65007865007864</v>
      </c>
      <c r="M8" s="9">
        <f t="shared" si="0"/>
        <v>78.298316586193394</v>
      </c>
      <c r="O8" s="5">
        <f>SUM(D8:M8)/10</f>
        <v>79.444330310542995</v>
      </c>
    </row>
    <row r="9" spans="2:15" ht="15.75" thickBot="1" x14ac:dyDescent="0.3"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2:15" x14ac:dyDescent="0.25">
      <c r="C10" s="13"/>
      <c r="D10" s="14" t="s">
        <v>19</v>
      </c>
      <c r="E10" s="14" t="s">
        <v>20</v>
      </c>
      <c r="F10" s="15" t="s">
        <v>21</v>
      </c>
    </row>
    <row r="11" spans="2:15" x14ac:dyDescent="0.25">
      <c r="C11" s="16" t="s">
        <v>0</v>
      </c>
      <c r="D11" s="17">
        <v>0</v>
      </c>
      <c r="E11" s="17" t="s">
        <v>6</v>
      </c>
      <c r="F11" s="18">
        <v>0</v>
      </c>
    </row>
    <row r="12" spans="2:15" ht="15.75" thickBot="1" x14ac:dyDescent="0.3">
      <c r="C12" s="19" t="s">
        <v>1</v>
      </c>
      <c r="D12" s="20">
        <v>0</v>
      </c>
      <c r="E12" s="20">
        <v>0</v>
      </c>
      <c r="F12" s="21" t="s">
        <v>6</v>
      </c>
    </row>
    <row r="13" spans="2:15" ht="15.75" thickBot="1" x14ac:dyDescent="0.3"/>
    <row r="14" spans="2:15" ht="18" x14ac:dyDescent="0.35">
      <c r="C14" s="6" t="s">
        <v>3</v>
      </c>
      <c r="D14" s="7">
        <v>0</v>
      </c>
      <c r="F14" s="6" t="s">
        <v>4</v>
      </c>
      <c r="G14" s="7">
        <v>0</v>
      </c>
      <c r="I14" s="6" t="s">
        <v>8</v>
      </c>
      <c r="J14" s="7">
        <v>0</v>
      </c>
      <c r="L14" s="6" t="s">
        <v>15</v>
      </c>
      <c r="M14" s="7">
        <f>SQRT(((1/O6)*J15)^2+(-(O7/O6^2)*J14)^2)</f>
        <v>0</v>
      </c>
    </row>
    <row r="15" spans="2:15" ht="18.75" thickBot="1" x14ac:dyDescent="0.4">
      <c r="C15" s="8" t="s">
        <v>7</v>
      </c>
      <c r="D15" s="9">
        <v>0</v>
      </c>
      <c r="F15" s="8" t="s">
        <v>5</v>
      </c>
      <c r="G15" s="9">
        <v>0</v>
      </c>
      <c r="I15" s="8" t="s">
        <v>9</v>
      </c>
      <c r="J15" s="9">
        <v>0</v>
      </c>
      <c r="L15" s="8" t="s">
        <v>16</v>
      </c>
      <c r="M15" s="9">
        <f>M14*2</f>
        <v>0</v>
      </c>
    </row>
    <row r="16" spans="2:15" ht="15.75" thickBot="1" x14ac:dyDescent="0.3">
      <c r="C16" s="1"/>
      <c r="D16" s="1"/>
    </row>
    <row r="17" spans="12:16" ht="15.75" thickBot="1" x14ac:dyDescent="0.3">
      <c r="L17" s="10" t="s">
        <v>18</v>
      </c>
      <c r="M17" s="11">
        <f>O8</f>
        <v>79.444330310542995</v>
      </c>
      <c r="N17" s="11" t="s">
        <v>10</v>
      </c>
      <c r="O17" s="11">
        <f>M15</f>
        <v>0</v>
      </c>
      <c r="P17" s="12" t="s">
        <v>17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Padmann Šťastný</dc:creator>
  <cp:lastModifiedBy>Stastny, Adam</cp:lastModifiedBy>
  <dcterms:created xsi:type="dcterms:W3CDTF">2023-02-19T12:00:11Z</dcterms:created>
  <dcterms:modified xsi:type="dcterms:W3CDTF">2023-12-25T13:45:25Z</dcterms:modified>
</cp:coreProperties>
</file>